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dhima\Downloads\Excel all project\Project-7\"/>
    </mc:Choice>
  </mc:AlternateContent>
  <xr:revisionPtr revIDLastSave="0" documentId="13_ncr:1_{DBC95A2A-BB4D-4FB7-A358-D355F76379BA}" xr6:coauthVersionLast="47" xr6:coauthVersionMax="47" xr10:uidLastSave="{00000000-0000-0000-0000-000000000000}"/>
  <bookViews>
    <workbookView xWindow="-108" yWindow="-108" windowWidth="23256" windowHeight="12456" activeTab="2" xr2:uid="{C0992F5F-3E03-4D8D-927F-F2F6896D7610}"/>
  </bookViews>
  <sheets>
    <sheet name="Sheet1" sheetId="2" r:id="rId1"/>
    <sheet name="Sheet2" sheetId="3" r:id="rId2"/>
    <sheet name="Sheet3" sheetId="4" r:id="rId3"/>
    <sheet name="Hospital_Management_Large" sheetId="1" r:id="rId4"/>
  </sheets>
  <definedNames>
    <definedName name="Slicer_Department1">#N/A</definedName>
    <definedName name="Slicer_Diagnosis">#N/A</definedName>
    <definedName name="Slicer_Gender">#N/A</definedName>
    <definedName name="Slicer_Room_Type1">#N/A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79" i="1" l="1"/>
  <c r="M20" i="3" a="1"/>
  <c r="M20" i="3" s="1"/>
  <c r="R11" i="1" l="1"/>
  <c r="R7" i="1"/>
  <c r="Q11" i="1"/>
  <c r="Q7" i="1"/>
  <c r="R14"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<sst xmlns="http://schemas.openxmlformats.org/spreadsheetml/2006/main" count="9180" uniqueCount="2070">
  <si>
    <t>Patient ID</t>
  </si>
  <si>
    <t>Name</t>
  </si>
  <si>
    <t>Age</t>
  </si>
  <si>
    <t>Gender</t>
  </si>
  <si>
    <t>Admission Date</t>
  </si>
  <si>
    <t>Discharge Date</t>
  </si>
  <si>
    <t>Department</t>
  </si>
  <si>
    <t>Diagnosis</t>
  </si>
  <si>
    <t>Treatment Cost</t>
  </si>
  <si>
    <t>Billing Status</t>
  </si>
  <si>
    <t>Attending Physician</t>
  </si>
  <si>
    <t>Nurse Assigned</t>
  </si>
  <si>
    <t>Room Type</t>
  </si>
  <si>
    <t>Length of Stay (Days)</t>
  </si>
  <si>
    <t>P1000</t>
  </si>
  <si>
    <t>Christian Woods</t>
  </si>
  <si>
    <t>Female</t>
  </si>
  <si>
    <t>Pediatrics</t>
  </si>
  <si>
    <t>Stroke</t>
  </si>
  <si>
    <t>Unpaid</t>
  </si>
  <si>
    <t>Dr. Khan</t>
  </si>
  <si>
    <t>Nurse Zoe</t>
  </si>
  <si>
    <t>Shared</t>
  </si>
  <si>
    <t>P1001</t>
  </si>
  <si>
    <t>Jordan Pacheco</t>
  </si>
  <si>
    <t>Male</t>
  </si>
  <si>
    <t>Neurology</t>
  </si>
  <si>
    <t>Hypertension</t>
  </si>
  <si>
    <t>Nurse Rita</t>
  </si>
  <si>
    <t>Semi-Private</t>
  </si>
  <si>
    <t>P1002</t>
  </si>
  <si>
    <t>Erika Riley</t>
  </si>
  <si>
    <t>Orthopedics</t>
  </si>
  <si>
    <t>Eczema</t>
  </si>
  <si>
    <t>Paid</t>
  </si>
  <si>
    <t>Dr. White</t>
  </si>
  <si>
    <t>Nurse John</t>
  </si>
  <si>
    <t>P1003</t>
  </si>
  <si>
    <t>Stephen Harris</t>
  </si>
  <si>
    <t>Arrhythmia</t>
  </si>
  <si>
    <t>Dr. Mehta</t>
  </si>
  <si>
    <t>P1004</t>
  </si>
  <si>
    <t>Paul Hart</t>
  </si>
  <si>
    <t>Cardiology</t>
  </si>
  <si>
    <t>Dr. Patel</t>
  </si>
  <si>
    <t>Nurse Allen</t>
  </si>
  <si>
    <t>P1005</t>
  </si>
  <si>
    <t>Stanley Bennett</t>
  </si>
  <si>
    <t>Heart Attack</t>
  </si>
  <si>
    <t>Dr. Baker</t>
  </si>
  <si>
    <t>Private</t>
  </si>
  <si>
    <t>P1006</t>
  </si>
  <si>
    <t>Luke Snyder</t>
  </si>
  <si>
    <t>Migraine</t>
  </si>
  <si>
    <t>Dr. Adams</t>
  </si>
  <si>
    <t>Nurse Lisa</t>
  </si>
  <si>
    <t>P1007</t>
  </si>
  <si>
    <t>Lawrence Cooper</t>
  </si>
  <si>
    <t>Ulcer</t>
  </si>
  <si>
    <t>Nurse Kelly</t>
  </si>
  <si>
    <t>P1008</t>
  </si>
  <si>
    <t>John Thomas</t>
  </si>
  <si>
    <t>ENT</t>
  </si>
  <si>
    <t>Sinusitis</t>
  </si>
  <si>
    <t>P1009</t>
  </si>
  <si>
    <t>Cory Sparks</t>
  </si>
  <si>
    <t>Dermatology</t>
  </si>
  <si>
    <t>P1010</t>
  </si>
  <si>
    <t>Alex Davis</t>
  </si>
  <si>
    <t>P1011</t>
  </si>
  <si>
    <t>Michael Fox</t>
  </si>
  <si>
    <t>P1012</t>
  </si>
  <si>
    <t>Amanda Edwards</t>
  </si>
  <si>
    <t>Fracture</t>
  </si>
  <si>
    <t>P1013</t>
  </si>
  <si>
    <t>Dorothy Maddox</t>
  </si>
  <si>
    <t>P1014</t>
  </si>
  <si>
    <t>Chad Reid</t>
  </si>
  <si>
    <t>Nurse Mia</t>
  </si>
  <si>
    <t>P1015</t>
  </si>
  <si>
    <t>Natalie Solomon</t>
  </si>
  <si>
    <t>P1016</t>
  </si>
  <si>
    <t>Jerome White</t>
  </si>
  <si>
    <t>P1017</t>
  </si>
  <si>
    <t>Mary Campbell</t>
  </si>
  <si>
    <t>P1018</t>
  </si>
  <si>
    <t>Andrea Pollard</t>
  </si>
  <si>
    <t>P1019</t>
  </si>
  <si>
    <t>Jeffery Perry</t>
  </si>
  <si>
    <t>Asthma</t>
  </si>
  <si>
    <t>P1020</t>
  </si>
  <si>
    <t>Nicholas Taylor</t>
  </si>
  <si>
    <t>P1021</t>
  </si>
  <si>
    <t>James Shaffer</t>
  </si>
  <si>
    <t>Gastroenterology</t>
  </si>
  <si>
    <t>P1022</t>
  </si>
  <si>
    <t>John Davis</t>
  </si>
  <si>
    <t>P1023</t>
  </si>
  <si>
    <t>Jason Gray</t>
  </si>
  <si>
    <t>P1024</t>
  </si>
  <si>
    <t>Christopher Fuentes</t>
  </si>
  <si>
    <t>P1025</t>
  </si>
  <si>
    <t>Kyle Wood</t>
  </si>
  <si>
    <t>P1026</t>
  </si>
  <si>
    <t>Teresa Thomas</t>
  </si>
  <si>
    <t>P1027</t>
  </si>
  <si>
    <t>Alexander Santiago</t>
  </si>
  <si>
    <t>P1028</t>
  </si>
  <si>
    <t>Jamie Rogers</t>
  </si>
  <si>
    <t>P1029</t>
  </si>
  <si>
    <t>Ryan Phillips</t>
  </si>
  <si>
    <t>P1030</t>
  </si>
  <si>
    <t>Sean White</t>
  </si>
  <si>
    <t>P1031</t>
  </si>
  <si>
    <t>John Stone</t>
  </si>
  <si>
    <t>P1032</t>
  </si>
  <si>
    <t>Theresa Williams DDS</t>
  </si>
  <si>
    <t>P1033</t>
  </si>
  <si>
    <t>Donald Brown</t>
  </si>
  <si>
    <t>P1034</t>
  </si>
  <si>
    <t>Amanda Aguirre</t>
  </si>
  <si>
    <t>P1035</t>
  </si>
  <si>
    <t>Diana Schwartz</t>
  </si>
  <si>
    <t>P1036</t>
  </si>
  <si>
    <t>Melissa Colon</t>
  </si>
  <si>
    <t>P1037</t>
  </si>
  <si>
    <t>Benjamin Carter</t>
  </si>
  <si>
    <t>P1038</t>
  </si>
  <si>
    <t>Julie Baker</t>
  </si>
  <si>
    <t>P1039</t>
  </si>
  <si>
    <t>Rachel Turner</t>
  </si>
  <si>
    <t>P1040</t>
  </si>
  <si>
    <t>Melissa Morgan</t>
  </si>
  <si>
    <t>Dr. Chen</t>
  </si>
  <si>
    <t>P1041</t>
  </si>
  <si>
    <t>Devon Parker</t>
  </si>
  <si>
    <t>P1042</t>
  </si>
  <si>
    <t>John Miller</t>
  </si>
  <si>
    <t>P1043</t>
  </si>
  <si>
    <t>Chad Conrad</t>
  </si>
  <si>
    <t>P1044</t>
  </si>
  <si>
    <t>Thomas Taylor</t>
  </si>
  <si>
    <t>P1045</t>
  </si>
  <si>
    <t>Peter Lee</t>
  </si>
  <si>
    <t>P1046</t>
  </si>
  <si>
    <t>Mr. Frank Arroyo</t>
  </si>
  <si>
    <t>P1047</t>
  </si>
  <si>
    <t>Gary Williams</t>
  </si>
  <si>
    <t>P1048</t>
  </si>
  <si>
    <t>Dustin White</t>
  </si>
  <si>
    <t>P1049</t>
  </si>
  <si>
    <t>Andrew Allen</t>
  </si>
  <si>
    <t>P1050</t>
  </si>
  <si>
    <t>Megan Murphy</t>
  </si>
  <si>
    <t>P1051</t>
  </si>
  <si>
    <t>Jason Shah</t>
  </si>
  <si>
    <t>P1052</t>
  </si>
  <si>
    <t>Erica Curtis</t>
  </si>
  <si>
    <t>P1053</t>
  </si>
  <si>
    <t>John Hamilton</t>
  </si>
  <si>
    <t>P1054</t>
  </si>
  <si>
    <t>Jimmy Dougherty</t>
  </si>
  <si>
    <t>P1055</t>
  </si>
  <si>
    <t>Elizabeth Hardy</t>
  </si>
  <si>
    <t>P1056</t>
  </si>
  <si>
    <t>John Jenkins</t>
  </si>
  <si>
    <t>P1057</t>
  </si>
  <si>
    <t>Jessica Farmer</t>
  </si>
  <si>
    <t>P1058</t>
  </si>
  <si>
    <t>Nancy Gibbs</t>
  </si>
  <si>
    <t>P1059</t>
  </si>
  <si>
    <t>Karen Carr</t>
  </si>
  <si>
    <t>P1060</t>
  </si>
  <si>
    <t>Mrs. Gina Bonilla</t>
  </si>
  <si>
    <t>P1061</t>
  </si>
  <si>
    <t>Melissa Baker</t>
  </si>
  <si>
    <t>P1062</t>
  </si>
  <si>
    <t>Frank Hoffman</t>
  </si>
  <si>
    <t>P1063</t>
  </si>
  <si>
    <t>Tammy Richard</t>
  </si>
  <si>
    <t>P1064</t>
  </si>
  <si>
    <t>Paul Stevens</t>
  </si>
  <si>
    <t>P1065</t>
  </si>
  <si>
    <t>Brenda Simpson</t>
  </si>
  <si>
    <t>P1066</t>
  </si>
  <si>
    <t>Karina Santos</t>
  </si>
  <si>
    <t>P1067</t>
  </si>
  <si>
    <t>Robert Bauer</t>
  </si>
  <si>
    <t>P1068</t>
  </si>
  <si>
    <t>Molly Powell</t>
  </si>
  <si>
    <t>P1069</t>
  </si>
  <si>
    <t>Laurie Mccoy</t>
  </si>
  <si>
    <t>P1070</t>
  </si>
  <si>
    <t>Victoria Price</t>
  </si>
  <si>
    <t>P1071</t>
  </si>
  <si>
    <t>Joshua Carroll</t>
  </si>
  <si>
    <t>P1072</t>
  </si>
  <si>
    <t>James Smith</t>
  </si>
  <si>
    <t>P1073</t>
  </si>
  <si>
    <t>Becky Bennett</t>
  </si>
  <si>
    <t>P1074</t>
  </si>
  <si>
    <t>Judy Martinez</t>
  </si>
  <si>
    <t>P1075</t>
  </si>
  <si>
    <t>Caleb Parker</t>
  </si>
  <si>
    <t>P1076</t>
  </si>
  <si>
    <t>Abigail Sullivan</t>
  </si>
  <si>
    <t>P1077</t>
  </si>
  <si>
    <t>Destiny Logan</t>
  </si>
  <si>
    <t>P1078</t>
  </si>
  <si>
    <t>Jacqueline Rosario</t>
  </si>
  <si>
    <t>P1079</t>
  </si>
  <si>
    <t>Christine White</t>
  </si>
  <si>
    <t>P1080</t>
  </si>
  <si>
    <t>Steven Frost</t>
  </si>
  <si>
    <t>P1081</t>
  </si>
  <si>
    <t>William Lewis</t>
  </si>
  <si>
    <t>P1082</t>
  </si>
  <si>
    <t>Courtney Williams</t>
  </si>
  <si>
    <t>P1083</t>
  </si>
  <si>
    <t>Joseph Johnson</t>
  </si>
  <si>
    <t>P1084</t>
  </si>
  <si>
    <t>Rachel Miles</t>
  </si>
  <si>
    <t>P1085</t>
  </si>
  <si>
    <t>Joseph Shepard</t>
  </si>
  <si>
    <t>P1086</t>
  </si>
  <si>
    <t>Megan Williams</t>
  </si>
  <si>
    <t>P1087</t>
  </si>
  <si>
    <t>Melissa Tran</t>
  </si>
  <si>
    <t>P1088</t>
  </si>
  <si>
    <t>Cindy Tran</t>
  </si>
  <si>
    <t>P1089</t>
  </si>
  <si>
    <t>Monique Rodriguez</t>
  </si>
  <si>
    <t>P1090</t>
  </si>
  <si>
    <t>Edward Jordan</t>
  </si>
  <si>
    <t>P1091</t>
  </si>
  <si>
    <t>Steven Wood</t>
  </si>
  <si>
    <t>P1092</t>
  </si>
  <si>
    <t>Jennifer Becker</t>
  </si>
  <si>
    <t>P1093</t>
  </si>
  <si>
    <t>Charles Fuller</t>
  </si>
  <si>
    <t>P1094</t>
  </si>
  <si>
    <t>Scott Freeman</t>
  </si>
  <si>
    <t>P1095</t>
  </si>
  <si>
    <t>Jenna Taylor</t>
  </si>
  <si>
    <t>P1096</t>
  </si>
  <si>
    <t>John Day</t>
  </si>
  <si>
    <t>P1097</t>
  </si>
  <si>
    <t>Deborah Herman</t>
  </si>
  <si>
    <t>P1098</t>
  </si>
  <si>
    <t>Mrs. Lisa Holt</t>
  </si>
  <si>
    <t>P1099</t>
  </si>
  <si>
    <t>Derek Long</t>
  </si>
  <si>
    <t>P1100</t>
  </si>
  <si>
    <t>Cynthia Peterson</t>
  </si>
  <si>
    <t>P1101</t>
  </si>
  <si>
    <t>Dr. Linda Giles</t>
  </si>
  <si>
    <t>P1102</t>
  </si>
  <si>
    <t>Terry Lawrence</t>
  </si>
  <si>
    <t>P1103</t>
  </si>
  <si>
    <t>Erin Thompson</t>
  </si>
  <si>
    <t>P1104</t>
  </si>
  <si>
    <t>Shane Murphy</t>
  </si>
  <si>
    <t>P1105</t>
  </si>
  <si>
    <t>Denise Jarvis</t>
  </si>
  <si>
    <t>P1106</t>
  </si>
  <si>
    <t>Ashley Delacruz</t>
  </si>
  <si>
    <t>P1107</t>
  </si>
  <si>
    <t>Robert Campbell</t>
  </si>
  <si>
    <t>P1108</t>
  </si>
  <si>
    <t>John Townsend Jr.</t>
  </si>
  <si>
    <t>P1109</t>
  </si>
  <si>
    <t>Sharon Diaz DVM</t>
  </si>
  <si>
    <t>P1110</t>
  </si>
  <si>
    <t>Jonathan Hart</t>
  </si>
  <si>
    <t>P1111</t>
  </si>
  <si>
    <t>Anthony Morgan</t>
  </si>
  <si>
    <t>P1112</t>
  </si>
  <si>
    <t>Kimberly Ware</t>
  </si>
  <si>
    <t>P1113</t>
  </si>
  <si>
    <t>John Robinson</t>
  </si>
  <si>
    <t>P1114</t>
  </si>
  <si>
    <t>Raymond Montoya</t>
  </si>
  <si>
    <t>P1115</t>
  </si>
  <si>
    <t>Tonya Nunez</t>
  </si>
  <si>
    <t>P1116</t>
  </si>
  <si>
    <t>Edward Yang MD</t>
  </si>
  <si>
    <t>P1117</t>
  </si>
  <si>
    <t>Richard Moss</t>
  </si>
  <si>
    <t>P1118</t>
  </si>
  <si>
    <t>Kelly Bowers</t>
  </si>
  <si>
    <t>P1119</t>
  </si>
  <si>
    <t>Nicole Anderson</t>
  </si>
  <si>
    <t>P1120</t>
  </si>
  <si>
    <t>Teresa Jacobson</t>
  </si>
  <si>
    <t>P1121</t>
  </si>
  <si>
    <t>Jack Snyder</t>
  </si>
  <si>
    <t>P1122</t>
  </si>
  <si>
    <t>Elizabeth Guerrero</t>
  </si>
  <si>
    <t>P1123</t>
  </si>
  <si>
    <t>Sara Dominguez</t>
  </si>
  <si>
    <t>P1124</t>
  </si>
  <si>
    <t>Peter Wilkins</t>
  </si>
  <si>
    <t>P1125</t>
  </si>
  <si>
    <t>Emily Scott</t>
  </si>
  <si>
    <t>P1126</t>
  </si>
  <si>
    <t>James Fox</t>
  </si>
  <si>
    <t>P1127</t>
  </si>
  <si>
    <t>David Clark</t>
  </si>
  <si>
    <t>P1128</t>
  </si>
  <si>
    <t>Laura Price</t>
  </si>
  <si>
    <t>P1129</t>
  </si>
  <si>
    <t>Cindy Johnson</t>
  </si>
  <si>
    <t>P1130</t>
  </si>
  <si>
    <t>Larry Johnson</t>
  </si>
  <si>
    <t>P1131</t>
  </si>
  <si>
    <t>Sandy Randolph</t>
  </si>
  <si>
    <t>P1132</t>
  </si>
  <si>
    <t>Andrew May</t>
  </si>
  <si>
    <t>P1133</t>
  </si>
  <si>
    <t>Jennifer Cook</t>
  </si>
  <si>
    <t>P1134</t>
  </si>
  <si>
    <t>Brandon Howard</t>
  </si>
  <si>
    <t>P1135</t>
  </si>
  <si>
    <t>Darren Murphy</t>
  </si>
  <si>
    <t>P1136</t>
  </si>
  <si>
    <t>Christopher Miller</t>
  </si>
  <si>
    <t>P1137</t>
  </si>
  <si>
    <t>Ashley Williams</t>
  </si>
  <si>
    <t>P1138</t>
  </si>
  <si>
    <t>Michael Williams</t>
  </si>
  <si>
    <t>P1139</t>
  </si>
  <si>
    <t>Steven Reilly</t>
  </si>
  <si>
    <t>P1140</t>
  </si>
  <si>
    <t>Mark Woods</t>
  </si>
  <si>
    <t>P1141</t>
  </si>
  <si>
    <t>David Day</t>
  </si>
  <si>
    <t>P1142</t>
  </si>
  <si>
    <t>Rachael Klein</t>
  </si>
  <si>
    <t>P1143</t>
  </si>
  <si>
    <t>David Foster Jr.</t>
  </si>
  <si>
    <t>P1144</t>
  </si>
  <si>
    <t>Alan Young</t>
  </si>
  <si>
    <t>P1145</t>
  </si>
  <si>
    <t>Timothy Carlson</t>
  </si>
  <si>
    <t>P1146</t>
  </si>
  <si>
    <t>Andrew Mack</t>
  </si>
  <si>
    <t>P1147</t>
  </si>
  <si>
    <t>Anna Wright</t>
  </si>
  <si>
    <t>P1148</t>
  </si>
  <si>
    <t>Andrew Bennett</t>
  </si>
  <si>
    <t>P1149</t>
  </si>
  <si>
    <t>Hannah Brooks</t>
  </si>
  <si>
    <t>P1150</t>
  </si>
  <si>
    <t>Susan Nicholson</t>
  </si>
  <si>
    <t>P1151</t>
  </si>
  <si>
    <t>Jennifer White</t>
  </si>
  <si>
    <t>P1152</t>
  </si>
  <si>
    <t>Sharon Booth</t>
  </si>
  <si>
    <t>P1153</t>
  </si>
  <si>
    <t>Lindsay Hernandez</t>
  </si>
  <si>
    <t>P1154</t>
  </si>
  <si>
    <t>Brandi Myers</t>
  </si>
  <si>
    <t>P1155</t>
  </si>
  <si>
    <t>Christina Anderson</t>
  </si>
  <si>
    <t>P1156</t>
  </si>
  <si>
    <t>Ashley Sawyer</t>
  </si>
  <si>
    <t>P1157</t>
  </si>
  <si>
    <t>Shelly Garcia</t>
  </si>
  <si>
    <t>P1158</t>
  </si>
  <si>
    <t>Brian Jordan Jr.</t>
  </si>
  <si>
    <t>P1159</t>
  </si>
  <si>
    <t>Alexis Gutierrez</t>
  </si>
  <si>
    <t>P1160</t>
  </si>
  <si>
    <t>Edward Dean</t>
  </si>
  <si>
    <t>P1161</t>
  </si>
  <si>
    <t>Matthew Reed</t>
  </si>
  <si>
    <t>P1162</t>
  </si>
  <si>
    <t>Melinda Cooper</t>
  </si>
  <si>
    <t>P1163</t>
  </si>
  <si>
    <t>Regina Thompson</t>
  </si>
  <si>
    <t>P1164</t>
  </si>
  <si>
    <t>Janice Hudson</t>
  </si>
  <si>
    <t>P1165</t>
  </si>
  <si>
    <t>Victoria Trevino</t>
  </si>
  <si>
    <t>P1166</t>
  </si>
  <si>
    <t>Patricia Wright</t>
  </si>
  <si>
    <t>P1167</t>
  </si>
  <si>
    <t>William Fisher</t>
  </si>
  <si>
    <t>P1168</t>
  </si>
  <si>
    <t>Amanda Mckee</t>
  </si>
  <si>
    <t>P1169</t>
  </si>
  <si>
    <t>William Simon</t>
  </si>
  <si>
    <t>P1170</t>
  </si>
  <si>
    <t>Regina Smith</t>
  </si>
  <si>
    <t>P1171</t>
  </si>
  <si>
    <t>Adam West</t>
  </si>
  <si>
    <t>P1172</t>
  </si>
  <si>
    <t>Joshua Green</t>
  </si>
  <si>
    <t>P1173</t>
  </si>
  <si>
    <t>Austin Gray</t>
  </si>
  <si>
    <t>P1174</t>
  </si>
  <si>
    <t>Ana Wallace</t>
  </si>
  <si>
    <t>P1175</t>
  </si>
  <si>
    <t>Brian Stephens</t>
  </si>
  <si>
    <t>P1176</t>
  </si>
  <si>
    <t>Maurice Brown</t>
  </si>
  <si>
    <t>P1177</t>
  </si>
  <si>
    <t>Theresa Chavez</t>
  </si>
  <si>
    <t>P1178</t>
  </si>
  <si>
    <t>Travis Adams</t>
  </si>
  <si>
    <t>P1179</t>
  </si>
  <si>
    <t>David Richardson</t>
  </si>
  <si>
    <t>P1180</t>
  </si>
  <si>
    <t>Tracy Perry</t>
  </si>
  <si>
    <t>P1181</t>
  </si>
  <si>
    <t>Jacob Ruiz</t>
  </si>
  <si>
    <t>P1182</t>
  </si>
  <si>
    <t>Brandon Wiggins</t>
  </si>
  <si>
    <t>P1183</t>
  </si>
  <si>
    <t>Keith Ellis</t>
  </si>
  <si>
    <t>P1184</t>
  </si>
  <si>
    <t>Ronald Mcgee</t>
  </si>
  <si>
    <t>P1185</t>
  </si>
  <si>
    <t>Alexander Huff</t>
  </si>
  <si>
    <t>P1186</t>
  </si>
  <si>
    <t>Alex Jones MD</t>
  </si>
  <si>
    <t>P1187</t>
  </si>
  <si>
    <t>Mr. Jason Williams</t>
  </si>
  <si>
    <t>P1188</t>
  </si>
  <si>
    <t>Brandon Mcdowell</t>
  </si>
  <si>
    <t>P1189</t>
  </si>
  <si>
    <t>Brenda King</t>
  </si>
  <si>
    <t>P1190</t>
  </si>
  <si>
    <t>Valerie Payne</t>
  </si>
  <si>
    <t>P1191</t>
  </si>
  <si>
    <t>Shelley Lee</t>
  </si>
  <si>
    <t>P1192</t>
  </si>
  <si>
    <t>Richard Marsh</t>
  </si>
  <si>
    <t>P1193</t>
  </si>
  <si>
    <t>Donald Mora</t>
  </si>
  <si>
    <t>P1194</t>
  </si>
  <si>
    <t>Christian Arnold</t>
  </si>
  <si>
    <t>P1195</t>
  </si>
  <si>
    <t>Mark Jordan</t>
  </si>
  <si>
    <t>P1196</t>
  </si>
  <si>
    <t>Mikayla Maxwell</t>
  </si>
  <si>
    <t>P1197</t>
  </si>
  <si>
    <t>Shawn Bryant</t>
  </si>
  <si>
    <t>P1198</t>
  </si>
  <si>
    <t>Jonathan Scott</t>
  </si>
  <si>
    <t>P1199</t>
  </si>
  <si>
    <t>Michele Coleman</t>
  </si>
  <si>
    <t>P1200</t>
  </si>
  <si>
    <t>Jesse Forbes</t>
  </si>
  <si>
    <t>P1201</t>
  </si>
  <si>
    <t>Selena Campbell</t>
  </si>
  <si>
    <t>P1202</t>
  </si>
  <si>
    <t>Joanna Whitaker</t>
  </si>
  <si>
    <t>P1203</t>
  </si>
  <si>
    <t>Lisa May</t>
  </si>
  <si>
    <t>P1204</t>
  </si>
  <si>
    <t>Amanda Bailey</t>
  </si>
  <si>
    <t>P1205</t>
  </si>
  <si>
    <t>Erica Davis</t>
  </si>
  <si>
    <t>P1206</t>
  </si>
  <si>
    <t>Dorothy Lin</t>
  </si>
  <si>
    <t>P1207</t>
  </si>
  <si>
    <t>Ryan Montes</t>
  </si>
  <si>
    <t>P1208</t>
  </si>
  <si>
    <t>Angela Brooks</t>
  </si>
  <si>
    <t>P1209</t>
  </si>
  <si>
    <t>Aaron Parker DVM</t>
  </si>
  <si>
    <t>P1210</t>
  </si>
  <si>
    <t>Jamie Barber</t>
  </si>
  <si>
    <t>P1211</t>
  </si>
  <si>
    <t>Karen Marshall</t>
  </si>
  <si>
    <t>P1212</t>
  </si>
  <si>
    <t>Sara Graves</t>
  </si>
  <si>
    <t>P1213</t>
  </si>
  <si>
    <t>Sarah Miles</t>
  </si>
  <si>
    <t>P1214</t>
  </si>
  <si>
    <t>Kevin Lopez</t>
  </si>
  <si>
    <t>P1215</t>
  </si>
  <si>
    <t>Brandy Phillips</t>
  </si>
  <si>
    <t>P1216</t>
  </si>
  <si>
    <t>Patrick Coleman</t>
  </si>
  <si>
    <t>P1217</t>
  </si>
  <si>
    <t>Ryan Carr</t>
  </si>
  <si>
    <t>P1218</t>
  </si>
  <si>
    <t>Amber Smith</t>
  </si>
  <si>
    <t>P1219</t>
  </si>
  <si>
    <t>Jamie Fuller</t>
  </si>
  <si>
    <t>P1220</t>
  </si>
  <si>
    <t>Tina Young</t>
  </si>
  <si>
    <t>P1221</t>
  </si>
  <si>
    <t>Mr. Randy Kline</t>
  </si>
  <si>
    <t>P1222</t>
  </si>
  <si>
    <t>David White</t>
  </si>
  <si>
    <t>P1223</t>
  </si>
  <si>
    <t>Martin Jones</t>
  </si>
  <si>
    <t>P1224</t>
  </si>
  <si>
    <t>Ms. Andrea Sloan</t>
  </si>
  <si>
    <t>P1225</t>
  </si>
  <si>
    <t>Benjamin Richardson</t>
  </si>
  <si>
    <t>P1226</t>
  </si>
  <si>
    <t>Brittany Brown</t>
  </si>
  <si>
    <t>P1227</t>
  </si>
  <si>
    <t>Joshua Chavez</t>
  </si>
  <si>
    <t>P1228</t>
  </si>
  <si>
    <t>Brittany Hansen</t>
  </si>
  <si>
    <t>P1229</t>
  </si>
  <si>
    <t>Amy Daniels MD</t>
  </si>
  <si>
    <t>P1230</t>
  </si>
  <si>
    <t>Jamie Ross</t>
  </si>
  <si>
    <t>P1231</t>
  </si>
  <si>
    <t>Donna Adkins</t>
  </si>
  <si>
    <t>P1232</t>
  </si>
  <si>
    <t>Jeffrey Lane</t>
  </si>
  <si>
    <t>P1233</t>
  </si>
  <si>
    <t>Sara Sanchez</t>
  </si>
  <si>
    <t>P1234</t>
  </si>
  <si>
    <t>Joseph Wells</t>
  </si>
  <si>
    <t>P1235</t>
  </si>
  <si>
    <t>Ana Potter</t>
  </si>
  <si>
    <t>P1236</t>
  </si>
  <si>
    <t>Christopher Brown</t>
  </si>
  <si>
    <t>P1237</t>
  </si>
  <si>
    <t>Jennifer Coleman MD</t>
  </si>
  <si>
    <t>P1238</t>
  </si>
  <si>
    <t>Kristin Harrison</t>
  </si>
  <si>
    <t>P1239</t>
  </si>
  <si>
    <t>Amanda Morales</t>
  </si>
  <si>
    <t>P1240</t>
  </si>
  <si>
    <t>Stephanie Rose</t>
  </si>
  <si>
    <t>P1241</t>
  </si>
  <si>
    <t>Jose Smith</t>
  </si>
  <si>
    <t>P1242</t>
  </si>
  <si>
    <t>Nicole Mcgee</t>
  </si>
  <si>
    <t>P1243</t>
  </si>
  <si>
    <t>Kristine Bowen DVM</t>
  </si>
  <si>
    <t>P1244</t>
  </si>
  <si>
    <t>Alexis Cox</t>
  </si>
  <si>
    <t>P1245</t>
  </si>
  <si>
    <t>Steven Cruz</t>
  </si>
  <si>
    <t>P1246</t>
  </si>
  <si>
    <t>Dawn Hernandez</t>
  </si>
  <si>
    <t>P1247</t>
  </si>
  <si>
    <t>Katherine Maxwell</t>
  </si>
  <si>
    <t>P1248</t>
  </si>
  <si>
    <t>Stephanie Burns</t>
  </si>
  <si>
    <t>P1249</t>
  </si>
  <si>
    <t>Angela Ramirez</t>
  </si>
  <si>
    <t>P1250</t>
  </si>
  <si>
    <t>Victor Randolph III</t>
  </si>
  <si>
    <t>P1251</t>
  </si>
  <si>
    <t>James Black</t>
  </si>
  <si>
    <t>P1252</t>
  </si>
  <si>
    <t>Katherine Underwood</t>
  </si>
  <si>
    <t>P1253</t>
  </si>
  <si>
    <t>Gabriella Alexander</t>
  </si>
  <si>
    <t>P1254</t>
  </si>
  <si>
    <t>Sean Ortiz</t>
  </si>
  <si>
    <t>P1255</t>
  </si>
  <si>
    <t>Amber Rogers</t>
  </si>
  <si>
    <t>P1256</t>
  </si>
  <si>
    <t>Timothy Adkins</t>
  </si>
  <si>
    <t>P1257</t>
  </si>
  <si>
    <t>Sara Murray</t>
  </si>
  <si>
    <t>P1258</t>
  </si>
  <si>
    <t>Shannon Jensen</t>
  </si>
  <si>
    <t>P1259</t>
  </si>
  <si>
    <t>Michelle Ellison</t>
  </si>
  <si>
    <t>P1260</t>
  </si>
  <si>
    <t>Bobby Mcgee</t>
  </si>
  <si>
    <t>P1261</t>
  </si>
  <si>
    <t>Alison Knight</t>
  </si>
  <si>
    <t>P1262</t>
  </si>
  <si>
    <t>Jesse Brown</t>
  </si>
  <si>
    <t>P1263</t>
  </si>
  <si>
    <t>Kenneth Li</t>
  </si>
  <si>
    <t>P1264</t>
  </si>
  <si>
    <t>Lawrence Douglas</t>
  </si>
  <si>
    <t>P1265</t>
  </si>
  <si>
    <t>David Turner</t>
  </si>
  <si>
    <t>P1266</t>
  </si>
  <si>
    <t>Brittany Roberts</t>
  </si>
  <si>
    <t>P1267</t>
  </si>
  <si>
    <t>David Rivera</t>
  </si>
  <si>
    <t>P1268</t>
  </si>
  <si>
    <t>Nicole Freeman</t>
  </si>
  <si>
    <t>P1269</t>
  </si>
  <si>
    <t>Alyssa Wise</t>
  </si>
  <si>
    <t>P1270</t>
  </si>
  <si>
    <t>Tracey Gordon</t>
  </si>
  <si>
    <t>P1271</t>
  </si>
  <si>
    <t>Jennifer Munoz</t>
  </si>
  <si>
    <t>P1272</t>
  </si>
  <si>
    <t>Paul Willis</t>
  </si>
  <si>
    <t>P1273</t>
  </si>
  <si>
    <t>Christopher Martin</t>
  </si>
  <si>
    <t>P1274</t>
  </si>
  <si>
    <t>Megan Solomon</t>
  </si>
  <si>
    <t>P1275</t>
  </si>
  <si>
    <t>Christopher Fuller</t>
  </si>
  <si>
    <t>P1276</t>
  </si>
  <si>
    <t>Jacob Wilson</t>
  </si>
  <si>
    <t>P1277</t>
  </si>
  <si>
    <t>David Gonzalez</t>
  </si>
  <si>
    <t>P1278</t>
  </si>
  <si>
    <t>Rita Davidson</t>
  </si>
  <si>
    <t>P1279</t>
  </si>
  <si>
    <t>William Good</t>
  </si>
  <si>
    <t>P1280</t>
  </si>
  <si>
    <t>Rebecca Powell</t>
  </si>
  <si>
    <t>P1281</t>
  </si>
  <si>
    <t>Jennifer Rojas</t>
  </si>
  <si>
    <t>P1282</t>
  </si>
  <si>
    <t>Kyle Jones</t>
  </si>
  <si>
    <t>P1283</t>
  </si>
  <si>
    <t>Megan Joseph</t>
  </si>
  <si>
    <t>P1284</t>
  </si>
  <si>
    <t>Jose Daniels</t>
  </si>
  <si>
    <t>P1285</t>
  </si>
  <si>
    <t>Sarah Pineda</t>
  </si>
  <si>
    <t>P1286</t>
  </si>
  <si>
    <t>Rebecca Allen</t>
  </si>
  <si>
    <t>P1287</t>
  </si>
  <si>
    <t>Catherine Jensen</t>
  </si>
  <si>
    <t>P1288</t>
  </si>
  <si>
    <t>Katherine Peters</t>
  </si>
  <si>
    <t>P1289</t>
  </si>
  <si>
    <t>Richard Baird</t>
  </si>
  <si>
    <t>P1290</t>
  </si>
  <si>
    <t>Justin Knox</t>
  </si>
  <si>
    <t>P1291</t>
  </si>
  <si>
    <t>Jennifer Berry</t>
  </si>
  <si>
    <t>P1292</t>
  </si>
  <si>
    <t>Gail Reyes</t>
  </si>
  <si>
    <t>P1293</t>
  </si>
  <si>
    <t>Michael Johnson</t>
  </si>
  <si>
    <t>P1294</t>
  </si>
  <si>
    <t>Karen Harrison</t>
  </si>
  <si>
    <t>P1295</t>
  </si>
  <si>
    <t>Melissa Reed</t>
  </si>
  <si>
    <t>P1296</t>
  </si>
  <si>
    <t>Suzanne Anderson</t>
  </si>
  <si>
    <t>P1297</t>
  </si>
  <si>
    <t>Jacob Snyder</t>
  </si>
  <si>
    <t>P1298</t>
  </si>
  <si>
    <t>Brandi Ward</t>
  </si>
  <si>
    <t>P1299</t>
  </si>
  <si>
    <t>Jacob Everett</t>
  </si>
  <si>
    <t>P1300</t>
  </si>
  <si>
    <t>Sandra Morris</t>
  </si>
  <si>
    <t>P1301</t>
  </si>
  <si>
    <t>Richard Goodwin</t>
  </si>
  <si>
    <t>P1302</t>
  </si>
  <si>
    <t>Jessica Garcia MD</t>
  </si>
  <si>
    <t>P1303</t>
  </si>
  <si>
    <t>Thomas Hickman</t>
  </si>
  <si>
    <t>P1304</t>
  </si>
  <si>
    <t>Charlene Huynh</t>
  </si>
  <si>
    <t>P1305</t>
  </si>
  <si>
    <t>Paul Gibson</t>
  </si>
  <si>
    <t>P1306</t>
  </si>
  <si>
    <t>Phillip Adams</t>
  </si>
  <si>
    <t>P1307</t>
  </si>
  <si>
    <t>Erin Garcia</t>
  </si>
  <si>
    <t>P1308</t>
  </si>
  <si>
    <t>Shawna Olson</t>
  </si>
  <si>
    <t>P1309</t>
  </si>
  <si>
    <t>Bruce Jones</t>
  </si>
  <si>
    <t>P1310</t>
  </si>
  <si>
    <t>Janice Nixon</t>
  </si>
  <si>
    <t>P1311</t>
  </si>
  <si>
    <t>Craig Hale</t>
  </si>
  <si>
    <t>P1312</t>
  </si>
  <si>
    <t>Rebecca Sampson</t>
  </si>
  <si>
    <t>P1313</t>
  </si>
  <si>
    <t>Jennifer Dennis</t>
  </si>
  <si>
    <t>P1314</t>
  </si>
  <si>
    <t>Amanda Skinner</t>
  </si>
  <si>
    <t>P1315</t>
  </si>
  <si>
    <t>John Williams</t>
  </si>
  <si>
    <t>P1316</t>
  </si>
  <si>
    <t>Lindsey Bruce</t>
  </si>
  <si>
    <t>P1317</t>
  </si>
  <si>
    <t>Natalie Russell</t>
  </si>
  <si>
    <t>P1318</t>
  </si>
  <si>
    <t>Kimberly Robinson</t>
  </si>
  <si>
    <t>P1319</t>
  </si>
  <si>
    <t>Jennifer Soto</t>
  </si>
  <si>
    <t>P1320</t>
  </si>
  <si>
    <t>Christopher Cook</t>
  </si>
  <si>
    <t>P1321</t>
  </si>
  <si>
    <t>Antonio Brown</t>
  </si>
  <si>
    <t>P1322</t>
  </si>
  <si>
    <t>Christopher Jenkins</t>
  </si>
  <si>
    <t>P1323</t>
  </si>
  <si>
    <t>Miranda King</t>
  </si>
  <si>
    <t>P1324</t>
  </si>
  <si>
    <t>Melissa Morales</t>
  </si>
  <si>
    <t>P1325</t>
  </si>
  <si>
    <t>Deborah Chambers</t>
  </si>
  <si>
    <t>P1326</t>
  </si>
  <si>
    <t>Emily Beard</t>
  </si>
  <si>
    <t>P1327</t>
  </si>
  <si>
    <t>Janet Parker</t>
  </si>
  <si>
    <t>P1328</t>
  </si>
  <si>
    <t>Morgan Cole</t>
  </si>
  <si>
    <t>P1329</t>
  </si>
  <si>
    <t>Heidi Martinez</t>
  </si>
  <si>
    <t>P1330</t>
  </si>
  <si>
    <t>Sonya Taylor</t>
  </si>
  <si>
    <t>P1331</t>
  </si>
  <si>
    <t>Jean Moody</t>
  </si>
  <si>
    <t>P1332</t>
  </si>
  <si>
    <t>Joshua Hernandez</t>
  </si>
  <si>
    <t>P1333</t>
  </si>
  <si>
    <t>Brandy Bright</t>
  </si>
  <si>
    <t>P1334</t>
  </si>
  <si>
    <t>Lisa Stephens</t>
  </si>
  <si>
    <t>P1335</t>
  </si>
  <si>
    <t>Anna Carter</t>
  </si>
  <si>
    <t>P1336</t>
  </si>
  <si>
    <t>Cole Brooks</t>
  </si>
  <si>
    <t>P1337</t>
  </si>
  <si>
    <t>Robert Jones</t>
  </si>
  <si>
    <t>P1338</t>
  </si>
  <si>
    <t>Ashley Harvey</t>
  </si>
  <si>
    <t>P1339</t>
  </si>
  <si>
    <t>Albert Miller</t>
  </si>
  <si>
    <t>P1340</t>
  </si>
  <si>
    <t>Marc Vazquez</t>
  </si>
  <si>
    <t>P1341</t>
  </si>
  <si>
    <t>Barbara Anderson</t>
  </si>
  <si>
    <t>P1342</t>
  </si>
  <si>
    <t>Jamie Berry</t>
  </si>
  <si>
    <t>P1343</t>
  </si>
  <si>
    <t>Danny Alexander</t>
  </si>
  <si>
    <t>P1344</t>
  </si>
  <si>
    <t>Ashley Lawrence</t>
  </si>
  <si>
    <t>P1345</t>
  </si>
  <si>
    <t>Danny Watkins</t>
  </si>
  <si>
    <t>P1346</t>
  </si>
  <si>
    <t>Max Lee</t>
  </si>
  <si>
    <t>P1347</t>
  </si>
  <si>
    <t>William Mcconnell</t>
  </si>
  <si>
    <t>P1348</t>
  </si>
  <si>
    <t>Alison Vazquez</t>
  </si>
  <si>
    <t>P1349</t>
  </si>
  <si>
    <t>Scott Jimenez</t>
  </si>
  <si>
    <t>P1350</t>
  </si>
  <si>
    <t>Debra Stone</t>
  </si>
  <si>
    <t>P1351</t>
  </si>
  <si>
    <t>John Sharp</t>
  </si>
  <si>
    <t>P1352</t>
  </si>
  <si>
    <t>Robert Powell</t>
  </si>
  <si>
    <t>P1353</t>
  </si>
  <si>
    <t>Ashlee Roberson</t>
  </si>
  <si>
    <t>P1354</t>
  </si>
  <si>
    <t>Christy Miller</t>
  </si>
  <si>
    <t>P1355</t>
  </si>
  <si>
    <t>Lori Garza</t>
  </si>
  <si>
    <t>P1356</t>
  </si>
  <si>
    <t>Deanna Brown</t>
  </si>
  <si>
    <t>P1357</t>
  </si>
  <si>
    <t>Jorge Rice</t>
  </si>
  <si>
    <t>P1358</t>
  </si>
  <si>
    <t>Joyce Farmer</t>
  </si>
  <si>
    <t>P1359</t>
  </si>
  <si>
    <t>Trevor Webb</t>
  </si>
  <si>
    <t>P1360</t>
  </si>
  <si>
    <t>Jessica Hernandez</t>
  </si>
  <si>
    <t>P1361</t>
  </si>
  <si>
    <t>Jeffrey Fowler</t>
  </si>
  <si>
    <t>P1362</t>
  </si>
  <si>
    <t>Melissa Prince</t>
  </si>
  <si>
    <t>P1363</t>
  </si>
  <si>
    <t>Paul Hughes</t>
  </si>
  <si>
    <t>P1364</t>
  </si>
  <si>
    <t>Cynthia Fischer</t>
  </si>
  <si>
    <t>P1365</t>
  </si>
  <si>
    <t>Amy Barker</t>
  </si>
  <si>
    <t>P1366</t>
  </si>
  <si>
    <t>Kim Bentley</t>
  </si>
  <si>
    <t>P1367</t>
  </si>
  <si>
    <t>Brandy Gomez</t>
  </si>
  <si>
    <t>P1368</t>
  </si>
  <si>
    <t>Nicole Nelson</t>
  </si>
  <si>
    <t>P1369</t>
  </si>
  <si>
    <t>Jennifer Stevens</t>
  </si>
  <si>
    <t>P1370</t>
  </si>
  <si>
    <t>James Johnson</t>
  </si>
  <si>
    <t>P1371</t>
  </si>
  <si>
    <t>Cassandra Avila</t>
  </si>
  <si>
    <t>P1372</t>
  </si>
  <si>
    <t>Susan Jenkins</t>
  </si>
  <si>
    <t>P1373</t>
  </si>
  <si>
    <t>Henry Cowan</t>
  </si>
  <si>
    <t>P1374</t>
  </si>
  <si>
    <t>Adam Clarke</t>
  </si>
  <si>
    <t>P1375</t>
  </si>
  <si>
    <t>Bobby Moore</t>
  </si>
  <si>
    <t>P1376</t>
  </si>
  <si>
    <t>Joshua Smith</t>
  </si>
  <si>
    <t>P1377</t>
  </si>
  <si>
    <t>Zachary Joyce</t>
  </si>
  <si>
    <t>P1378</t>
  </si>
  <si>
    <t>Dr. Raymond Benjamin</t>
  </si>
  <si>
    <t>P1379</t>
  </si>
  <si>
    <t>Emily Lang</t>
  </si>
  <si>
    <t>P1380</t>
  </si>
  <si>
    <t>David Diaz</t>
  </si>
  <si>
    <t>P1381</t>
  </si>
  <si>
    <t>Robert Green</t>
  </si>
  <si>
    <t>P1382</t>
  </si>
  <si>
    <t>Jacqueline Johnson</t>
  </si>
  <si>
    <t>P1383</t>
  </si>
  <si>
    <t>Jack Sandoval</t>
  </si>
  <si>
    <t>P1384</t>
  </si>
  <si>
    <t>Kelly Sanders</t>
  </si>
  <si>
    <t>P1385</t>
  </si>
  <si>
    <t>Donna Norman</t>
  </si>
  <si>
    <t>P1386</t>
  </si>
  <si>
    <t>Mark Scott MD</t>
  </si>
  <si>
    <t>P1387</t>
  </si>
  <si>
    <t>Jesus Reed</t>
  </si>
  <si>
    <t>P1388</t>
  </si>
  <si>
    <t>Emily Bradley</t>
  </si>
  <si>
    <t>P1389</t>
  </si>
  <si>
    <t>Jamie Luna</t>
  </si>
  <si>
    <t>P1390</t>
  </si>
  <si>
    <t>Jerry Greene</t>
  </si>
  <si>
    <t>P1391</t>
  </si>
  <si>
    <t>Jeremiah Garza</t>
  </si>
  <si>
    <t>P1392</t>
  </si>
  <si>
    <t>Timothy White</t>
  </si>
  <si>
    <t>P1393</t>
  </si>
  <si>
    <t>Tammy Medina</t>
  </si>
  <si>
    <t>P1394</t>
  </si>
  <si>
    <t>Ashley Wood</t>
  </si>
  <si>
    <t>P1395</t>
  </si>
  <si>
    <t>Jeremy Branch</t>
  </si>
  <si>
    <t>P1396</t>
  </si>
  <si>
    <t>Audrey Young</t>
  </si>
  <si>
    <t>P1397</t>
  </si>
  <si>
    <t>Frank Cummings</t>
  </si>
  <si>
    <t>P1398</t>
  </si>
  <si>
    <t>Evan Lopez</t>
  </si>
  <si>
    <t>P1399</t>
  </si>
  <si>
    <t>Mark Jackson</t>
  </si>
  <si>
    <t>P1400</t>
  </si>
  <si>
    <t>Dana Coleman</t>
  </si>
  <si>
    <t>P1401</t>
  </si>
  <si>
    <t>Scott Merritt</t>
  </si>
  <si>
    <t>P1402</t>
  </si>
  <si>
    <t>Cindy Tucker</t>
  </si>
  <si>
    <t>P1403</t>
  </si>
  <si>
    <t>Nicholas Vazquez</t>
  </si>
  <si>
    <t>P1404</t>
  </si>
  <si>
    <t>Jacob Johnston</t>
  </si>
  <si>
    <t>P1405</t>
  </si>
  <si>
    <t>Charlene Taylor</t>
  </si>
  <si>
    <t>P1406</t>
  </si>
  <si>
    <t>Joseph Diaz</t>
  </si>
  <si>
    <t>P1407</t>
  </si>
  <si>
    <t>Michael Edwards</t>
  </si>
  <si>
    <t>P1408</t>
  </si>
  <si>
    <t>Leah Garcia</t>
  </si>
  <si>
    <t>P1409</t>
  </si>
  <si>
    <t>Megan Jones</t>
  </si>
  <si>
    <t>P1410</t>
  </si>
  <si>
    <t>Margaret West</t>
  </si>
  <si>
    <t>P1411</t>
  </si>
  <si>
    <t>Jennifer Gibson</t>
  </si>
  <si>
    <t>P1412</t>
  </si>
  <si>
    <t>Lisa Salazar</t>
  </si>
  <si>
    <t>P1413</t>
  </si>
  <si>
    <t>Brad Gomez</t>
  </si>
  <si>
    <t>P1414</t>
  </si>
  <si>
    <t>Brian Smith</t>
  </si>
  <si>
    <t>P1415</t>
  </si>
  <si>
    <t>Maria Carroll</t>
  </si>
  <si>
    <t>P1416</t>
  </si>
  <si>
    <t>Amy Garcia</t>
  </si>
  <si>
    <t>P1417</t>
  </si>
  <si>
    <t>Megan Rodriguez</t>
  </si>
  <si>
    <t>P1418</t>
  </si>
  <si>
    <t>Jacob Jarvis</t>
  </si>
  <si>
    <t>P1419</t>
  </si>
  <si>
    <t>Nancy Ford</t>
  </si>
  <si>
    <t>P1420</t>
  </si>
  <si>
    <t>Amanda Pollard</t>
  </si>
  <si>
    <t>P1421</t>
  </si>
  <si>
    <t>Kathleen Mcdaniel</t>
  </si>
  <si>
    <t>P1422</t>
  </si>
  <si>
    <t>Matthew Massey</t>
  </si>
  <si>
    <t>P1423</t>
  </si>
  <si>
    <t>Eileen Hudson</t>
  </si>
  <si>
    <t>P1424</t>
  </si>
  <si>
    <t>Steven Morales</t>
  </si>
  <si>
    <t>P1425</t>
  </si>
  <si>
    <t>Amanda Nguyen</t>
  </si>
  <si>
    <t>P1426</t>
  </si>
  <si>
    <t>Alexander Carter</t>
  </si>
  <si>
    <t>P1427</t>
  </si>
  <si>
    <t>Miss Melanie Wiley</t>
  </si>
  <si>
    <t>P1428</t>
  </si>
  <si>
    <t>George Ramirez</t>
  </si>
  <si>
    <t>P1429</t>
  </si>
  <si>
    <t>Rita Elliott</t>
  </si>
  <si>
    <t>P1430</t>
  </si>
  <si>
    <t>William Martinez</t>
  </si>
  <si>
    <t>P1431</t>
  </si>
  <si>
    <t>Penny Moore</t>
  </si>
  <si>
    <t>P1432</t>
  </si>
  <si>
    <t>Taylor Howard</t>
  </si>
  <si>
    <t>P1433</t>
  </si>
  <si>
    <t>Sara Jensen</t>
  </si>
  <si>
    <t>P1434</t>
  </si>
  <si>
    <t>Joshua Mitchell</t>
  </si>
  <si>
    <t>P1435</t>
  </si>
  <si>
    <t>Christopher King</t>
  </si>
  <si>
    <t>P1436</t>
  </si>
  <si>
    <t>Eric Sanchez</t>
  </si>
  <si>
    <t>P1437</t>
  </si>
  <si>
    <t>Victoria Mason</t>
  </si>
  <si>
    <t>P1438</t>
  </si>
  <si>
    <t>Victoria Hernandez</t>
  </si>
  <si>
    <t>P1439</t>
  </si>
  <si>
    <t>Colleen Gonzalez</t>
  </si>
  <si>
    <t>P1440</t>
  </si>
  <si>
    <t>Susan Garza</t>
  </si>
  <si>
    <t>P1441</t>
  </si>
  <si>
    <t>Mark Austin</t>
  </si>
  <si>
    <t>P1442</t>
  </si>
  <si>
    <t>Lisa Tucker</t>
  </si>
  <si>
    <t>P1443</t>
  </si>
  <si>
    <t>James Watson</t>
  </si>
  <si>
    <t>P1444</t>
  </si>
  <si>
    <t>Stacey Goodwin</t>
  </si>
  <si>
    <t>P1445</t>
  </si>
  <si>
    <t>Lauren Ramos</t>
  </si>
  <si>
    <t>P1446</t>
  </si>
  <si>
    <t>Michele King</t>
  </si>
  <si>
    <t>P1447</t>
  </si>
  <si>
    <t>Hunter Perez</t>
  </si>
  <si>
    <t>P1448</t>
  </si>
  <si>
    <t>Carol Ortiz</t>
  </si>
  <si>
    <t>P1449</t>
  </si>
  <si>
    <t>Brandon Pacheco</t>
  </si>
  <si>
    <t>P1450</t>
  </si>
  <si>
    <t>Steven Martinez</t>
  </si>
  <si>
    <t>P1451</t>
  </si>
  <si>
    <t>Michael Wallace</t>
  </si>
  <si>
    <t>P1452</t>
  </si>
  <si>
    <t>James Fischer</t>
  </si>
  <si>
    <t>P1453</t>
  </si>
  <si>
    <t>Rachael Parker</t>
  </si>
  <si>
    <t>P1454</t>
  </si>
  <si>
    <t>Melvin Rios</t>
  </si>
  <si>
    <t>P1455</t>
  </si>
  <si>
    <t>Mathew Howe</t>
  </si>
  <si>
    <t>P1456</t>
  </si>
  <si>
    <t>Shari Cook</t>
  </si>
  <si>
    <t>P1457</t>
  </si>
  <si>
    <t>Carrie Harrison</t>
  </si>
  <si>
    <t>P1458</t>
  </si>
  <si>
    <t>Kevin Lee</t>
  </si>
  <si>
    <t>P1459</t>
  </si>
  <si>
    <t>Eric Patel</t>
  </si>
  <si>
    <t>P1460</t>
  </si>
  <si>
    <t>Sarah Warren</t>
  </si>
  <si>
    <t>P1461</t>
  </si>
  <si>
    <t>Miss Alicia Allen</t>
  </si>
  <si>
    <t>P1462</t>
  </si>
  <si>
    <t>Emily Fisher</t>
  </si>
  <si>
    <t>P1463</t>
  </si>
  <si>
    <t>Matthew Barajas</t>
  </si>
  <si>
    <t>P1464</t>
  </si>
  <si>
    <t>Tammy Burch</t>
  </si>
  <si>
    <t>P1465</t>
  </si>
  <si>
    <t>Caitlyn Gonzalez</t>
  </si>
  <si>
    <t>P1466</t>
  </si>
  <si>
    <t>Terri Smith</t>
  </si>
  <si>
    <t>P1467</t>
  </si>
  <si>
    <t>John Callahan</t>
  </si>
  <si>
    <t>P1468</t>
  </si>
  <si>
    <t>Brittany Rodriguez</t>
  </si>
  <si>
    <t>P1469</t>
  </si>
  <si>
    <t>Sherry Murphy</t>
  </si>
  <si>
    <t>P1470</t>
  </si>
  <si>
    <t>Doris Sanchez</t>
  </si>
  <si>
    <t>P1471</t>
  </si>
  <si>
    <t>James Long</t>
  </si>
  <si>
    <t>P1472</t>
  </si>
  <si>
    <t>Kelly Pineda</t>
  </si>
  <si>
    <t>P1473</t>
  </si>
  <si>
    <t>Edward Lawson</t>
  </si>
  <si>
    <t>P1474</t>
  </si>
  <si>
    <t>Tina Martin</t>
  </si>
  <si>
    <t>P1475</t>
  </si>
  <si>
    <t>Elizabeth Wright</t>
  </si>
  <si>
    <t>P1476</t>
  </si>
  <si>
    <t>Amy Nguyen</t>
  </si>
  <si>
    <t>P1477</t>
  </si>
  <si>
    <t>Anthony Rodriguez</t>
  </si>
  <si>
    <t>P1478</t>
  </si>
  <si>
    <t>Carrie Hall</t>
  </si>
  <si>
    <t>P1479</t>
  </si>
  <si>
    <t>Gregory Stewart</t>
  </si>
  <si>
    <t>P1480</t>
  </si>
  <si>
    <t>Daniel Little</t>
  </si>
  <si>
    <t>P1481</t>
  </si>
  <si>
    <t>Helen Fisher</t>
  </si>
  <si>
    <t>P1482</t>
  </si>
  <si>
    <t>Michele Diaz</t>
  </si>
  <si>
    <t>P1483</t>
  </si>
  <si>
    <t>Molly Jackson</t>
  </si>
  <si>
    <t>P1484</t>
  </si>
  <si>
    <t>Brandi Taylor</t>
  </si>
  <si>
    <t>P1485</t>
  </si>
  <si>
    <t>Julie Holt</t>
  </si>
  <si>
    <t>P1486</t>
  </si>
  <si>
    <t>Nathan Davenport</t>
  </si>
  <si>
    <t>P1487</t>
  </si>
  <si>
    <t>James Wise</t>
  </si>
  <si>
    <t>P1488</t>
  </si>
  <si>
    <t>Richard Brown</t>
  </si>
  <si>
    <t>P1489</t>
  </si>
  <si>
    <t>Bryan Reyes</t>
  </si>
  <si>
    <t>P1490</t>
  </si>
  <si>
    <t>James Gonzalez</t>
  </si>
  <si>
    <t>P1491</t>
  </si>
  <si>
    <t>Sara Martinez</t>
  </si>
  <si>
    <t>P1492</t>
  </si>
  <si>
    <t>Nicole Ibarra</t>
  </si>
  <si>
    <t>P1493</t>
  </si>
  <si>
    <t>Daniel Davis</t>
  </si>
  <si>
    <t>P1494</t>
  </si>
  <si>
    <t>Charles Herrera</t>
  </si>
  <si>
    <t>P1495</t>
  </si>
  <si>
    <t>Kimberly Howard</t>
  </si>
  <si>
    <t>P1496</t>
  </si>
  <si>
    <t>Robert Nicholson</t>
  </si>
  <si>
    <t>P1497</t>
  </si>
  <si>
    <t>P1498</t>
  </si>
  <si>
    <t>Sandra Simmons</t>
  </si>
  <si>
    <t>P1499</t>
  </si>
  <si>
    <t>Rachel Fischer</t>
  </si>
  <si>
    <t>P1500</t>
  </si>
  <si>
    <t>Karen Davidson</t>
  </si>
  <si>
    <t>P1501</t>
  </si>
  <si>
    <t>Brian Brown</t>
  </si>
  <si>
    <t>P1502</t>
  </si>
  <si>
    <t>Deborah Thompson</t>
  </si>
  <si>
    <t>P1503</t>
  </si>
  <si>
    <t>Michelle Lawson</t>
  </si>
  <si>
    <t>P1504</t>
  </si>
  <si>
    <t>Nicole Gonzales</t>
  </si>
  <si>
    <t>P1505</t>
  </si>
  <si>
    <t>Albert Harper</t>
  </si>
  <si>
    <t>P1506</t>
  </si>
  <si>
    <t>Tammy Sanford</t>
  </si>
  <si>
    <t>P1507</t>
  </si>
  <si>
    <t>Jeffrey Morales</t>
  </si>
  <si>
    <t>P1508</t>
  </si>
  <si>
    <t>Michael Nelson</t>
  </si>
  <si>
    <t>P1509</t>
  </si>
  <si>
    <t>Sydney Perkins</t>
  </si>
  <si>
    <t>P1510</t>
  </si>
  <si>
    <t>Paul Jones</t>
  </si>
  <si>
    <t>P1511</t>
  </si>
  <si>
    <t>Thomas Fisher</t>
  </si>
  <si>
    <t>P1512</t>
  </si>
  <si>
    <t>Richard Jenkins</t>
  </si>
  <si>
    <t>P1513</t>
  </si>
  <si>
    <t>Scott Johnson</t>
  </si>
  <si>
    <t>P1514</t>
  </si>
  <si>
    <t>Gregg Green</t>
  </si>
  <si>
    <t>P1515</t>
  </si>
  <si>
    <t>James Lewis</t>
  </si>
  <si>
    <t>P1516</t>
  </si>
  <si>
    <t>Jaime Ramirez</t>
  </si>
  <si>
    <t>P1517</t>
  </si>
  <si>
    <t>Janice Robles</t>
  </si>
  <si>
    <t>P1518</t>
  </si>
  <si>
    <t>Jimmy Smith</t>
  </si>
  <si>
    <t>P1519</t>
  </si>
  <si>
    <t>Jerry Nelson</t>
  </si>
  <si>
    <t>P1520</t>
  </si>
  <si>
    <t>Bruce Campbell</t>
  </si>
  <si>
    <t>P1521</t>
  </si>
  <si>
    <t>Margaret Riley</t>
  </si>
  <si>
    <t>P1522</t>
  </si>
  <si>
    <t>Molly Smith</t>
  </si>
  <si>
    <t>P1523</t>
  </si>
  <si>
    <t>Susan Fuentes</t>
  </si>
  <si>
    <t>P1524</t>
  </si>
  <si>
    <t>Edward Howe</t>
  </si>
  <si>
    <t>P1525</t>
  </si>
  <si>
    <t>Nicole Valenzuela</t>
  </si>
  <si>
    <t>P1526</t>
  </si>
  <si>
    <t>Sandra Brock</t>
  </si>
  <si>
    <t>P1527</t>
  </si>
  <si>
    <t>Vanessa Young</t>
  </si>
  <si>
    <t>P1528</t>
  </si>
  <si>
    <t>John Tucker</t>
  </si>
  <si>
    <t>P1529</t>
  </si>
  <si>
    <t>Shannon Miller</t>
  </si>
  <si>
    <t>P1530</t>
  </si>
  <si>
    <t>Dana Williams</t>
  </si>
  <si>
    <t>P1531</t>
  </si>
  <si>
    <t>Vickie Charles</t>
  </si>
  <si>
    <t>P1532</t>
  </si>
  <si>
    <t>Barbara Richardson</t>
  </si>
  <si>
    <t>P1533</t>
  </si>
  <si>
    <t>Tyler Johnson</t>
  </si>
  <si>
    <t>P1534</t>
  </si>
  <si>
    <t>Brett Moore</t>
  </si>
  <si>
    <t>P1535</t>
  </si>
  <si>
    <t>Maria Williams</t>
  </si>
  <si>
    <t>P1536</t>
  </si>
  <si>
    <t>Julie Harrison</t>
  </si>
  <si>
    <t>P1537</t>
  </si>
  <si>
    <t>Justin Lewis</t>
  </si>
  <si>
    <t>P1538</t>
  </si>
  <si>
    <t>Alexander Smith</t>
  </si>
  <si>
    <t>P1539</t>
  </si>
  <si>
    <t>Jessica Robinson</t>
  </si>
  <si>
    <t>P1540</t>
  </si>
  <si>
    <t>Joyce Lane</t>
  </si>
  <si>
    <t>P1541</t>
  </si>
  <si>
    <t>Nicholas Mosley</t>
  </si>
  <si>
    <t>P1542</t>
  </si>
  <si>
    <t>Wyatt Miller</t>
  </si>
  <si>
    <t>P1543</t>
  </si>
  <si>
    <t>Patricia Gomez</t>
  </si>
  <si>
    <t>P1544</t>
  </si>
  <si>
    <t>Phillip Roberts</t>
  </si>
  <si>
    <t>P1545</t>
  </si>
  <si>
    <t>James Valencia</t>
  </si>
  <si>
    <t>P1546</t>
  </si>
  <si>
    <t>Russell Figueroa</t>
  </si>
  <si>
    <t>P1547</t>
  </si>
  <si>
    <t>Carrie Black</t>
  </si>
  <si>
    <t>P1548</t>
  </si>
  <si>
    <t>Teresa Gonzalez</t>
  </si>
  <si>
    <t>P1549</t>
  </si>
  <si>
    <t>Edward Mueller</t>
  </si>
  <si>
    <t>P1550</t>
  </si>
  <si>
    <t>Brent Bauer</t>
  </si>
  <si>
    <t>P1551</t>
  </si>
  <si>
    <t>Ann White</t>
  </si>
  <si>
    <t>P1552</t>
  </si>
  <si>
    <t>Timothy Carpenter</t>
  </si>
  <si>
    <t>P1553</t>
  </si>
  <si>
    <t>Tabitha Bowen</t>
  </si>
  <si>
    <t>P1554</t>
  </si>
  <si>
    <t>Mathew Lee</t>
  </si>
  <si>
    <t>P1555</t>
  </si>
  <si>
    <t>Deborah Woodard</t>
  </si>
  <si>
    <t>P1556</t>
  </si>
  <si>
    <t>Linda Hunter</t>
  </si>
  <si>
    <t>P1557</t>
  </si>
  <si>
    <t>Jessica Romero</t>
  </si>
  <si>
    <t>P1558</t>
  </si>
  <si>
    <t>Victor Brown</t>
  </si>
  <si>
    <t>P1559</t>
  </si>
  <si>
    <t>Rebecca Park</t>
  </si>
  <si>
    <t>P1560</t>
  </si>
  <si>
    <t>Christine Houston</t>
  </si>
  <si>
    <t>P1561</t>
  </si>
  <si>
    <t>Wendy Pope</t>
  </si>
  <si>
    <t>P1562</t>
  </si>
  <si>
    <t>Megan Dawson</t>
  </si>
  <si>
    <t>P1563</t>
  </si>
  <si>
    <t>Donna Short</t>
  </si>
  <si>
    <t>P1564</t>
  </si>
  <si>
    <t>Thomas Williams</t>
  </si>
  <si>
    <t>P1565</t>
  </si>
  <si>
    <t>Thomas Garcia</t>
  </si>
  <si>
    <t>P1566</t>
  </si>
  <si>
    <t>Nancy Salinas</t>
  </si>
  <si>
    <t>P1567</t>
  </si>
  <si>
    <t>Matthew Hubbard</t>
  </si>
  <si>
    <t>P1568</t>
  </si>
  <si>
    <t>Vincent Benton</t>
  </si>
  <si>
    <t>P1569</t>
  </si>
  <si>
    <t>Mark Herman</t>
  </si>
  <si>
    <t>P1570</t>
  </si>
  <si>
    <t>P1571</t>
  </si>
  <si>
    <t>Michelle Oconnor</t>
  </si>
  <si>
    <t>P1572</t>
  </si>
  <si>
    <t>Vickie Jackson</t>
  </si>
  <si>
    <t>P1573</t>
  </si>
  <si>
    <t>Charles Edwards</t>
  </si>
  <si>
    <t>P1574</t>
  </si>
  <si>
    <t>Jose Garrett</t>
  </si>
  <si>
    <t>P1575</t>
  </si>
  <si>
    <t>Mrs. Emily Johnson</t>
  </si>
  <si>
    <t>P1576</t>
  </si>
  <si>
    <t>April Alvarez</t>
  </si>
  <si>
    <t>P1577</t>
  </si>
  <si>
    <t>Christopher Harris</t>
  </si>
  <si>
    <t>P1578</t>
  </si>
  <si>
    <t>Samantha Adams</t>
  </si>
  <si>
    <t>P1579</t>
  </si>
  <si>
    <t>Virginia Hunter</t>
  </si>
  <si>
    <t>P1580</t>
  </si>
  <si>
    <t>Brandon Hernandez</t>
  </si>
  <si>
    <t>P1581</t>
  </si>
  <si>
    <t>Kelsey Blankenship</t>
  </si>
  <si>
    <t>P1582</t>
  </si>
  <si>
    <t>Michelle Goodman</t>
  </si>
  <si>
    <t>P1583</t>
  </si>
  <si>
    <t>P1584</t>
  </si>
  <si>
    <t>Shannon Murray</t>
  </si>
  <si>
    <t>P1585</t>
  </si>
  <si>
    <t>Denise Walker</t>
  </si>
  <si>
    <t>P1586</t>
  </si>
  <si>
    <t>Cody Wong</t>
  </si>
  <si>
    <t>P1587</t>
  </si>
  <si>
    <t>Juan Gonzalez</t>
  </si>
  <si>
    <t>P1588</t>
  </si>
  <si>
    <t>Benjamin King</t>
  </si>
  <si>
    <t>P1589</t>
  </si>
  <si>
    <t>Amanda Stafford</t>
  </si>
  <si>
    <t>P1590</t>
  </si>
  <si>
    <t>Thomas Phillips</t>
  </si>
  <si>
    <t>P1591</t>
  </si>
  <si>
    <t>Diana Price</t>
  </si>
  <si>
    <t>P1592</t>
  </si>
  <si>
    <t>William Sullivan</t>
  </si>
  <si>
    <t>P1593</t>
  </si>
  <si>
    <t>Nicole Martin</t>
  </si>
  <si>
    <t>P1594</t>
  </si>
  <si>
    <t>Veronica James</t>
  </si>
  <si>
    <t>P1595</t>
  </si>
  <si>
    <t>Megan Donovan</t>
  </si>
  <si>
    <t>P1596</t>
  </si>
  <si>
    <t>Curtis Proctor</t>
  </si>
  <si>
    <t>P1597</t>
  </si>
  <si>
    <t>Heather Pratt</t>
  </si>
  <si>
    <t>P1598</t>
  </si>
  <si>
    <t>Tyler Goodman</t>
  </si>
  <si>
    <t>P1599</t>
  </si>
  <si>
    <t>Trevor Johnson</t>
  </si>
  <si>
    <t>P1600</t>
  </si>
  <si>
    <t>Brian Hamilton</t>
  </si>
  <si>
    <t>P1601</t>
  </si>
  <si>
    <t>Joseph Bennett</t>
  </si>
  <si>
    <t>P1602</t>
  </si>
  <si>
    <t>Kelly Butler</t>
  </si>
  <si>
    <t>P1603</t>
  </si>
  <si>
    <t>Andrew Rivera</t>
  </si>
  <si>
    <t>P1604</t>
  </si>
  <si>
    <t>Keith Thomas</t>
  </si>
  <si>
    <t>P1605</t>
  </si>
  <si>
    <t>Erin Dillon</t>
  </si>
  <si>
    <t>P1606</t>
  </si>
  <si>
    <t>Jennifer Obrien</t>
  </si>
  <si>
    <t>P1607</t>
  </si>
  <si>
    <t>Tammie Clark</t>
  </si>
  <si>
    <t>P1608</t>
  </si>
  <si>
    <t>Jodi Phillips</t>
  </si>
  <si>
    <t>P1609</t>
  </si>
  <si>
    <t>Penny Ray</t>
  </si>
  <si>
    <t>P1610</t>
  </si>
  <si>
    <t>Alan Walters</t>
  </si>
  <si>
    <t>P1611</t>
  </si>
  <si>
    <t>Christopher Rodgers</t>
  </si>
  <si>
    <t>P1612</t>
  </si>
  <si>
    <t>Alyssa Osborne</t>
  </si>
  <si>
    <t>P1613</t>
  </si>
  <si>
    <t>Taylor Wilson</t>
  </si>
  <si>
    <t>P1614</t>
  </si>
  <si>
    <t>Alicia Griffin</t>
  </si>
  <si>
    <t>P1615</t>
  </si>
  <si>
    <t>Krystal Brennan</t>
  </si>
  <si>
    <t>P1616</t>
  </si>
  <si>
    <t>Tara Perry</t>
  </si>
  <si>
    <t>P1617</t>
  </si>
  <si>
    <t>Jonathan Thomas</t>
  </si>
  <si>
    <t>P1618</t>
  </si>
  <si>
    <t>Terrence Nunez</t>
  </si>
  <si>
    <t>P1619</t>
  </si>
  <si>
    <t>William Francis</t>
  </si>
  <si>
    <t>P1620</t>
  </si>
  <si>
    <t>Ms. Tammy Schwartz</t>
  </si>
  <si>
    <t>P1621</t>
  </si>
  <si>
    <t>James Garcia</t>
  </si>
  <si>
    <t>P1622</t>
  </si>
  <si>
    <t>Jessica Conley</t>
  </si>
  <si>
    <t>P1623</t>
  </si>
  <si>
    <t>Eric Smith</t>
  </si>
  <si>
    <t>P1624</t>
  </si>
  <si>
    <t>Andre Gonzalez</t>
  </si>
  <si>
    <t>P1625</t>
  </si>
  <si>
    <t>Daisy Scott</t>
  </si>
  <si>
    <t>P1626</t>
  </si>
  <si>
    <t>Margaret Andrews</t>
  </si>
  <si>
    <t>P1627</t>
  </si>
  <si>
    <t>Tonya Johnson</t>
  </si>
  <si>
    <t>P1628</t>
  </si>
  <si>
    <t>John Smith</t>
  </si>
  <si>
    <t>P1629</t>
  </si>
  <si>
    <t>Eric Jones</t>
  </si>
  <si>
    <t>P1630</t>
  </si>
  <si>
    <t>Yvonne Hampton</t>
  </si>
  <si>
    <t>P1631</t>
  </si>
  <si>
    <t>Gloria Turner</t>
  </si>
  <si>
    <t>P1632</t>
  </si>
  <si>
    <t>Alyssa Hall</t>
  </si>
  <si>
    <t>P1633</t>
  </si>
  <si>
    <t>William Morales</t>
  </si>
  <si>
    <t>P1634</t>
  </si>
  <si>
    <t>Teresa Martin</t>
  </si>
  <si>
    <t>P1635</t>
  </si>
  <si>
    <t>Jennifer Scott</t>
  </si>
  <si>
    <t>P1636</t>
  </si>
  <si>
    <t>Meghan Fernandez</t>
  </si>
  <si>
    <t>P1637</t>
  </si>
  <si>
    <t>Nicholas Hodges</t>
  </si>
  <si>
    <t>P1638</t>
  </si>
  <si>
    <t>Heather Parker</t>
  </si>
  <si>
    <t>P1639</t>
  </si>
  <si>
    <t>Sarah Willis</t>
  </si>
  <si>
    <t>P1640</t>
  </si>
  <si>
    <t>Marcus Ryan</t>
  </si>
  <si>
    <t>P1641</t>
  </si>
  <si>
    <t>Cynthia Hernandez</t>
  </si>
  <si>
    <t>P1642</t>
  </si>
  <si>
    <t>Thomas Rojas</t>
  </si>
  <si>
    <t>P1643</t>
  </si>
  <si>
    <t>Heather Burke</t>
  </si>
  <si>
    <t>P1644</t>
  </si>
  <si>
    <t>Wendy Robinson</t>
  </si>
  <si>
    <t>P1645</t>
  </si>
  <si>
    <t>Sara Sanders</t>
  </si>
  <si>
    <t>P1646</t>
  </si>
  <si>
    <t>Kelli Roberts</t>
  </si>
  <si>
    <t>P1647</t>
  </si>
  <si>
    <t>Steven Phillips</t>
  </si>
  <si>
    <t>P1648</t>
  </si>
  <si>
    <t>Jerry Martinez</t>
  </si>
  <si>
    <t>P1649</t>
  </si>
  <si>
    <t>Anthony Lopez</t>
  </si>
  <si>
    <t>P1650</t>
  </si>
  <si>
    <t>Laura Gonzalez</t>
  </si>
  <si>
    <t>P1651</t>
  </si>
  <si>
    <t>Christopher Scott</t>
  </si>
  <si>
    <t>P1652</t>
  </si>
  <si>
    <t>Larry Estrada</t>
  </si>
  <si>
    <t>P1653</t>
  </si>
  <si>
    <t>Carol Foster</t>
  </si>
  <si>
    <t>P1654</t>
  </si>
  <si>
    <t>Jamie Lloyd MD</t>
  </si>
  <si>
    <t>P1655</t>
  </si>
  <si>
    <t>Miguel Walker</t>
  </si>
  <si>
    <t>P1656</t>
  </si>
  <si>
    <t>Joshua Stevens</t>
  </si>
  <si>
    <t>P1657</t>
  </si>
  <si>
    <t>Andrea Golden</t>
  </si>
  <si>
    <t>P1658</t>
  </si>
  <si>
    <t>Shawn Johnson</t>
  </si>
  <si>
    <t>P1659</t>
  </si>
  <si>
    <t>Steven Lee</t>
  </si>
  <si>
    <t>P1660</t>
  </si>
  <si>
    <t>Sara Smith</t>
  </si>
  <si>
    <t>P1661</t>
  </si>
  <si>
    <t>Carl Taylor</t>
  </si>
  <si>
    <t>P1662</t>
  </si>
  <si>
    <t>Scott Allen</t>
  </si>
  <si>
    <t>P1663</t>
  </si>
  <si>
    <t>Karen Williamson</t>
  </si>
  <si>
    <t>P1664</t>
  </si>
  <si>
    <t>Jeffrey Hart</t>
  </si>
  <si>
    <t>P1665</t>
  </si>
  <si>
    <t>April Carter</t>
  </si>
  <si>
    <t>P1666</t>
  </si>
  <si>
    <t>Taylor Greene</t>
  </si>
  <si>
    <t>P1667</t>
  </si>
  <si>
    <t>Jessica Sosa</t>
  </si>
  <si>
    <t>P1668</t>
  </si>
  <si>
    <t>William Patton</t>
  </si>
  <si>
    <t>P1669</t>
  </si>
  <si>
    <t>James Obrien</t>
  </si>
  <si>
    <t>P1670</t>
  </si>
  <si>
    <t>Jean Jones</t>
  </si>
  <si>
    <t>P1671</t>
  </si>
  <si>
    <t>Charles Patel</t>
  </si>
  <si>
    <t>P1672</t>
  </si>
  <si>
    <t>Ian Cuevas</t>
  </si>
  <si>
    <t>P1673</t>
  </si>
  <si>
    <t>Danielle Barnes</t>
  </si>
  <si>
    <t>P1674</t>
  </si>
  <si>
    <t>Mckenzie Booth</t>
  </si>
  <si>
    <t>P1675</t>
  </si>
  <si>
    <t>Brian Walters</t>
  </si>
  <si>
    <t>P1676</t>
  </si>
  <si>
    <t>P1677</t>
  </si>
  <si>
    <t>Nicole Perez</t>
  </si>
  <si>
    <t>P1678</t>
  </si>
  <si>
    <t>Nathan Nelson</t>
  </si>
  <si>
    <t>P1679</t>
  </si>
  <si>
    <t>Dr. Brady Jackson</t>
  </si>
  <si>
    <t>P1680</t>
  </si>
  <si>
    <t>Rebecca Perry</t>
  </si>
  <si>
    <t>P1681</t>
  </si>
  <si>
    <t>Geoffrey Jackson</t>
  </si>
  <si>
    <t>P1682</t>
  </si>
  <si>
    <t>Breanna Bruce</t>
  </si>
  <si>
    <t>P1683</t>
  </si>
  <si>
    <t>Vanessa Fletcher</t>
  </si>
  <si>
    <t>P1684</t>
  </si>
  <si>
    <t>Samantha Jackson</t>
  </si>
  <si>
    <t>P1685</t>
  </si>
  <si>
    <t>Allen Lopez</t>
  </si>
  <si>
    <t>P1686</t>
  </si>
  <si>
    <t>Amy Hines</t>
  </si>
  <si>
    <t>P1687</t>
  </si>
  <si>
    <t>Derrick Luna</t>
  </si>
  <si>
    <t>P1688</t>
  </si>
  <si>
    <t>Kimberly Turner</t>
  </si>
  <si>
    <t>P1689</t>
  </si>
  <si>
    <t>Dustin Bell</t>
  </si>
  <si>
    <t>P1690</t>
  </si>
  <si>
    <t>P1691</t>
  </si>
  <si>
    <t>Heather Smith</t>
  </si>
  <si>
    <t>P1692</t>
  </si>
  <si>
    <t>Cynthia Horn</t>
  </si>
  <si>
    <t>P1693</t>
  </si>
  <si>
    <t>Cody Marquez</t>
  </si>
  <si>
    <t>P1694</t>
  </si>
  <si>
    <t>Stacey Martinez</t>
  </si>
  <si>
    <t>P1695</t>
  </si>
  <si>
    <t>Maurice Murray</t>
  </si>
  <si>
    <t>P1696</t>
  </si>
  <si>
    <t>Steven Mills</t>
  </si>
  <si>
    <t>P1697</t>
  </si>
  <si>
    <t>Derek Johnson</t>
  </si>
  <si>
    <t>P1698</t>
  </si>
  <si>
    <t>Dale Gray</t>
  </si>
  <si>
    <t>P1699</t>
  </si>
  <si>
    <t>James Hernandez</t>
  </si>
  <si>
    <t>P1700</t>
  </si>
  <si>
    <t>Wayne Munoz</t>
  </si>
  <si>
    <t>P1701</t>
  </si>
  <si>
    <t>James Mitchell</t>
  </si>
  <si>
    <t>P1702</t>
  </si>
  <si>
    <t>Karen Scott</t>
  </si>
  <si>
    <t>P1703</t>
  </si>
  <si>
    <t>Stephanie Hicks</t>
  </si>
  <si>
    <t>P1704</t>
  </si>
  <si>
    <t>John Hanna</t>
  </si>
  <si>
    <t>P1705</t>
  </si>
  <si>
    <t>Cindy Dunn</t>
  </si>
  <si>
    <t>P1706</t>
  </si>
  <si>
    <t>Mr. John Myers Jr.</t>
  </si>
  <si>
    <t>P1707</t>
  </si>
  <si>
    <t>Evelyn Boone</t>
  </si>
  <si>
    <t>P1708</t>
  </si>
  <si>
    <t>Crystal Williams</t>
  </si>
  <si>
    <t>P1709</t>
  </si>
  <si>
    <t>Calvin Mitchell</t>
  </si>
  <si>
    <t>P1710</t>
  </si>
  <si>
    <t>Jasmin Bond</t>
  </si>
  <si>
    <t>P1711</t>
  </si>
  <si>
    <t>Natalie Adams</t>
  </si>
  <si>
    <t>P1712</t>
  </si>
  <si>
    <t>Brandon Anderson</t>
  </si>
  <si>
    <t>P1713</t>
  </si>
  <si>
    <t>David Brown</t>
  </si>
  <si>
    <t>P1714</t>
  </si>
  <si>
    <t>Jacob Walsh</t>
  </si>
  <si>
    <t>P1715</t>
  </si>
  <si>
    <t>Seth Sawyer</t>
  </si>
  <si>
    <t>P1716</t>
  </si>
  <si>
    <t>Sheila Ayers</t>
  </si>
  <si>
    <t>P1717</t>
  </si>
  <si>
    <t>Beth Johnson</t>
  </si>
  <si>
    <t>P1718</t>
  </si>
  <si>
    <t>Stephen Phillips</t>
  </si>
  <si>
    <t>P1719</t>
  </si>
  <si>
    <t>Stephanie Hinton</t>
  </si>
  <si>
    <t>P1720</t>
  </si>
  <si>
    <t>Todd Jones</t>
  </si>
  <si>
    <t>P1721</t>
  </si>
  <si>
    <t>Ronald Collins</t>
  </si>
  <si>
    <t>P1722</t>
  </si>
  <si>
    <t>Eric Blankenship</t>
  </si>
  <si>
    <t>P1723</t>
  </si>
  <si>
    <t>James Kennedy</t>
  </si>
  <si>
    <t>P1724</t>
  </si>
  <si>
    <t>Dr. Kenneth Moss</t>
  </si>
  <si>
    <t>P1725</t>
  </si>
  <si>
    <t>Ryan Hunter</t>
  </si>
  <si>
    <t>P1726</t>
  </si>
  <si>
    <t>Debra Dixon</t>
  </si>
  <si>
    <t>P1727</t>
  </si>
  <si>
    <t>Zoe Mccormick</t>
  </si>
  <si>
    <t>P1728</t>
  </si>
  <si>
    <t>Dennis Lang</t>
  </si>
  <si>
    <t>P1729</t>
  </si>
  <si>
    <t>Sierra Olson</t>
  </si>
  <si>
    <t>P1730</t>
  </si>
  <si>
    <t>P1731</t>
  </si>
  <si>
    <t>Joseph Munoz</t>
  </si>
  <si>
    <t>P1732</t>
  </si>
  <si>
    <t>David Pollard</t>
  </si>
  <si>
    <t>P1733</t>
  </si>
  <si>
    <t>Melissa Benitez</t>
  </si>
  <si>
    <t>P1734</t>
  </si>
  <si>
    <t>Daniel Green</t>
  </si>
  <si>
    <t>P1735</t>
  </si>
  <si>
    <t>Sean Brown</t>
  </si>
  <si>
    <t>P1736</t>
  </si>
  <si>
    <t>Kathy Coleman</t>
  </si>
  <si>
    <t>P1737</t>
  </si>
  <si>
    <t>Keith Lopez</t>
  </si>
  <si>
    <t>P1738</t>
  </si>
  <si>
    <t>Chelsea Gonzales</t>
  </si>
  <si>
    <t>P1739</t>
  </si>
  <si>
    <t>Olivia Douglas</t>
  </si>
  <si>
    <t>P1740</t>
  </si>
  <si>
    <t>Justin Pugh</t>
  </si>
  <si>
    <t>P1741</t>
  </si>
  <si>
    <t>Kristen George</t>
  </si>
  <si>
    <t>P1742</t>
  </si>
  <si>
    <t>Jessica Dillon</t>
  </si>
  <si>
    <t>P1743</t>
  </si>
  <si>
    <t>Paul Donovan</t>
  </si>
  <si>
    <t>P1744</t>
  </si>
  <si>
    <t>Karen Bell</t>
  </si>
  <si>
    <t>P1745</t>
  </si>
  <si>
    <t>Edwin Simpson</t>
  </si>
  <si>
    <t>P1746</t>
  </si>
  <si>
    <t>Daniel Mathews</t>
  </si>
  <si>
    <t>P1747</t>
  </si>
  <si>
    <t>Jennifer Adams</t>
  </si>
  <si>
    <t>P1748</t>
  </si>
  <si>
    <t>Laura Weaver</t>
  </si>
  <si>
    <t>P1749</t>
  </si>
  <si>
    <t>Barbara Soto</t>
  </si>
  <si>
    <t>P1750</t>
  </si>
  <si>
    <t>Kelly Romero</t>
  </si>
  <si>
    <t>P1751</t>
  </si>
  <si>
    <t>Steven Garrison</t>
  </si>
  <si>
    <t>P1752</t>
  </si>
  <si>
    <t>Jennifer Browning</t>
  </si>
  <si>
    <t>P1753</t>
  </si>
  <si>
    <t>Laura Alexander</t>
  </si>
  <si>
    <t>P1754</t>
  </si>
  <si>
    <t>David Butler</t>
  </si>
  <si>
    <t>P1755</t>
  </si>
  <si>
    <t>Tanya Mccall</t>
  </si>
  <si>
    <t>P1756</t>
  </si>
  <si>
    <t>Scott Ramsey</t>
  </si>
  <si>
    <t>P1757</t>
  </si>
  <si>
    <t>Anthony Taylor</t>
  </si>
  <si>
    <t>P1758</t>
  </si>
  <si>
    <t>Victor Mcdaniel</t>
  </si>
  <si>
    <t>P1759</t>
  </si>
  <si>
    <t>Howard Williams</t>
  </si>
  <si>
    <t>P1760</t>
  </si>
  <si>
    <t>Amanda Gonzales</t>
  </si>
  <si>
    <t>P1761</t>
  </si>
  <si>
    <t>Ashley Hogan</t>
  </si>
  <si>
    <t>P1762</t>
  </si>
  <si>
    <t>Eric Johnston</t>
  </si>
  <si>
    <t>P1763</t>
  </si>
  <si>
    <t>Timothy Gonzales</t>
  </si>
  <si>
    <t>P1764</t>
  </si>
  <si>
    <t>Caitlin Spears</t>
  </si>
  <si>
    <t>P1765</t>
  </si>
  <si>
    <t>Jennifer Park</t>
  </si>
  <si>
    <t>P1766</t>
  </si>
  <si>
    <t>Timothy Hall MD</t>
  </si>
  <si>
    <t>P1767</t>
  </si>
  <si>
    <t>Catherine Peterson</t>
  </si>
  <si>
    <t>P1768</t>
  </si>
  <si>
    <t>Katrina Tran</t>
  </si>
  <si>
    <t>P1769</t>
  </si>
  <si>
    <t>Alexander Coleman</t>
  </si>
  <si>
    <t>P1770</t>
  </si>
  <si>
    <t>Tracy Lawson</t>
  </si>
  <si>
    <t>P1771</t>
  </si>
  <si>
    <t>Meghan Bryant</t>
  </si>
  <si>
    <t>P1772</t>
  </si>
  <si>
    <t>Patricia Maldonado</t>
  </si>
  <si>
    <t>P1773</t>
  </si>
  <si>
    <t>Sean Neal</t>
  </si>
  <si>
    <t>P1774</t>
  </si>
  <si>
    <t>Elizabeth Schneider</t>
  </si>
  <si>
    <t>P1775</t>
  </si>
  <si>
    <t>Jennifer Walter</t>
  </si>
  <si>
    <t>P1776</t>
  </si>
  <si>
    <t>Brandi Velasquez</t>
  </si>
  <si>
    <t>P1777</t>
  </si>
  <si>
    <t>Brandon King</t>
  </si>
  <si>
    <t>P1778</t>
  </si>
  <si>
    <t>Mrs. Amy Burch DDS</t>
  </si>
  <si>
    <t>P1779</t>
  </si>
  <si>
    <t>Dr. Lisa Hernandez</t>
  </si>
  <si>
    <t>P1780</t>
  </si>
  <si>
    <t>Stephen Allen</t>
  </si>
  <si>
    <t>P1781</t>
  </si>
  <si>
    <t>Krista Stephenson</t>
  </si>
  <si>
    <t>P1782</t>
  </si>
  <si>
    <t>Raymond Edwards</t>
  </si>
  <si>
    <t>P1783</t>
  </si>
  <si>
    <t>Kristi Mccoy</t>
  </si>
  <si>
    <t>P1784</t>
  </si>
  <si>
    <t>Jill Wiley</t>
  </si>
  <si>
    <t>P1785</t>
  </si>
  <si>
    <t>Kim Perkins</t>
  </si>
  <si>
    <t>P1786</t>
  </si>
  <si>
    <t>Steven Thomas</t>
  </si>
  <si>
    <t>P1787</t>
  </si>
  <si>
    <t>Lori Hinton</t>
  </si>
  <si>
    <t>P1788</t>
  </si>
  <si>
    <t>Henry Bernard</t>
  </si>
  <si>
    <t>P1789</t>
  </si>
  <si>
    <t>Steven Cuevas</t>
  </si>
  <si>
    <t>P1790</t>
  </si>
  <si>
    <t>Nicole Pineda</t>
  </si>
  <si>
    <t>P1791</t>
  </si>
  <si>
    <t>Megan Baker</t>
  </si>
  <si>
    <t>P1792</t>
  </si>
  <si>
    <t>Anthony Romero</t>
  </si>
  <si>
    <t>P1793</t>
  </si>
  <si>
    <t>Stephen Newman</t>
  </si>
  <si>
    <t>P1794</t>
  </si>
  <si>
    <t>Joseph Nguyen</t>
  </si>
  <si>
    <t>P1795</t>
  </si>
  <si>
    <t>Stacy Roberts</t>
  </si>
  <si>
    <t>P1796</t>
  </si>
  <si>
    <t>Catherine Hanson</t>
  </si>
  <si>
    <t>P1797</t>
  </si>
  <si>
    <t>Corey Wood</t>
  </si>
  <si>
    <t>P1798</t>
  </si>
  <si>
    <t>Randall Moran</t>
  </si>
  <si>
    <t>P1799</t>
  </si>
  <si>
    <t>Jeffrey Nolan</t>
  </si>
  <si>
    <t>P1800</t>
  </si>
  <si>
    <t>Cassie Best</t>
  </si>
  <si>
    <t>P1801</t>
  </si>
  <si>
    <t>Eric Lopez MD</t>
  </si>
  <si>
    <t>P1802</t>
  </si>
  <si>
    <t>Michael Peterson</t>
  </si>
  <si>
    <t>P1803</t>
  </si>
  <si>
    <t>Maria Perry</t>
  </si>
  <si>
    <t>P1804</t>
  </si>
  <si>
    <t>Terry Johnson</t>
  </si>
  <si>
    <t>P1805</t>
  </si>
  <si>
    <t>Jonathan Woods</t>
  </si>
  <si>
    <t>P1806</t>
  </si>
  <si>
    <t>Duane Willis</t>
  </si>
  <si>
    <t>P1807</t>
  </si>
  <si>
    <t>John Beck</t>
  </si>
  <si>
    <t>P1808</t>
  </si>
  <si>
    <t>Michael Mcmahon</t>
  </si>
  <si>
    <t>P1809</t>
  </si>
  <si>
    <t>Shelby Andrews</t>
  </si>
  <si>
    <t>P1810</t>
  </si>
  <si>
    <t>Danielle Rivera</t>
  </si>
  <si>
    <t>P1811</t>
  </si>
  <si>
    <t>Cody Francis</t>
  </si>
  <si>
    <t>P1812</t>
  </si>
  <si>
    <t>Jerry Henson</t>
  </si>
  <si>
    <t>P1813</t>
  </si>
  <si>
    <t>Jeremy Strickland</t>
  </si>
  <si>
    <t>P1814</t>
  </si>
  <si>
    <t>Jon Taylor</t>
  </si>
  <si>
    <t>P1815</t>
  </si>
  <si>
    <t>Lauren Gutierrez</t>
  </si>
  <si>
    <t>P1816</t>
  </si>
  <si>
    <t>Christopher Navarro</t>
  </si>
  <si>
    <t>P1817</t>
  </si>
  <si>
    <t>Janice Jones</t>
  </si>
  <si>
    <t>P1818</t>
  </si>
  <si>
    <t>Katrina Smith</t>
  </si>
  <si>
    <t>P1819</t>
  </si>
  <si>
    <t>Veronica Stevens</t>
  </si>
  <si>
    <t>P1820</t>
  </si>
  <si>
    <t>Tiffany Hill</t>
  </si>
  <si>
    <t>P1821</t>
  </si>
  <si>
    <t>Rebecca Carr</t>
  </si>
  <si>
    <t>P1822</t>
  </si>
  <si>
    <t>Kenneth Shaw</t>
  </si>
  <si>
    <t>P1823</t>
  </si>
  <si>
    <t>Michael Ramos</t>
  </si>
  <si>
    <t>P1824</t>
  </si>
  <si>
    <t>Brooke Arnold</t>
  </si>
  <si>
    <t>P1825</t>
  </si>
  <si>
    <t>Kelly Nunez</t>
  </si>
  <si>
    <t>P1826</t>
  </si>
  <si>
    <t>Melissa Mason</t>
  </si>
  <si>
    <t>P1827</t>
  </si>
  <si>
    <t>Samantha Daugherty</t>
  </si>
  <si>
    <t>P1828</t>
  </si>
  <si>
    <t>Karen Howell</t>
  </si>
  <si>
    <t>P1829</t>
  </si>
  <si>
    <t>John Johnson</t>
  </si>
  <si>
    <t>P1830</t>
  </si>
  <si>
    <t>Amanda Williams</t>
  </si>
  <si>
    <t>P1831</t>
  </si>
  <si>
    <t>Nichole Holland</t>
  </si>
  <si>
    <t>P1832</t>
  </si>
  <si>
    <t>Robert Lee</t>
  </si>
  <si>
    <t>P1833</t>
  </si>
  <si>
    <t>Adam Anderson</t>
  </si>
  <si>
    <t>P1834</t>
  </si>
  <si>
    <t>Corey Martin</t>
  </si>
  <si>
    <t>P1835</t>
  </si>
  <si>
    <t>Tina Bryant</t>
  </si>
  <si>
    <t>P1836</t>
  </si>
  <si>
    <t>Stephanie Mason</t>
  </si>
  <si>
    <t>P1837</t>
  </si>
  <si>
    <t>Daniel Watson</t>
  </si>
  <si>
    <t>P1838</t>
  </si>
  <si>
    <t>Krista Jefferson</t>
  </si>
  <si>
    <t>P1839</t>
  </si>
  <si>
    <t>Kevin Conrad</t>
  </si>
  <si>
    <t>P1840</t>
  </si>
  <si>
    <t>Erik Nicholson</t>
  </si>
  <si>
    <t>P1841</t>
  </si>
  <si>
    <t>Megan Montoya</t>
  </si>
  <si>
    <t>P1842</t>
  </si>
  <si>
    <t>Amanda Arnold</t>
  </si>
  <si>
    <t>P1843</t>
  </si>
  <si>
    <t>Laurie Johnson</t>
  </si>
  <si>
    <t>P1844</t>
  </si>
  <si>
    <t>Gregory Mills</t>
  </si>
  <si>
    <t>P1845</t>
  </si>
  <si>
    <t>William Scott</t>
  </si>
  <si>
    <t>P1846</t>
  </si>
  <si>
    <t>Mrs. Courtney Arnold</t>
  </si>
  <si>
    <t>P1847</t>
  </si>
  <si>
    <t>Thomas Higgins</t>
  </si>
  <si>
    <t>P1848</t>
  </si>
  <si>
    <t>Bridget Thomas</t>
  </si>
  <si>
    <t>P1849</t>
  </si>
  <si>
    <t>P1850</t>
  </si>
  <si>
    <t>P1851</t>
  </si>
  <si>
    <t>Paul Carson</t>
  </si>
  <si>
    <t>P1852</t>
  </si>
  <si>
    <t>Susan Moore</t>
  </si>
  <si>
    <t>P1853</t>
  </si>
  <si>
    <t>Julia Lyons</t>
  </si>
  <si>
    <t>P1854</t>
  </si>
  <si>
    <t>Tiffany Salazar</t>
  </si>
  <si>
    <t>P1855</t>
  </si>
  <si>
    <t>Michael Martinez</t>
  </si>
  <si>
    <t>P1856</t>
  </si>
  <si>
    <t>Kristina Johnson</t>
  </si>
  <si>
    <t>P1857</t>
  </si>
  <si>
    <t>Roberto Lucas MD</t>
  </si>
  <si>
    <t>P1858</t>
  </si>
  <si>
    <t>David Perez</t>
  </si>
  <si>
    <t>P1859</t>
  </si>
  <si>
    <t>Carly Mitchell</t>
  </si>
  <si>
    <t>P1860</t>
  </si>
  <si>
    <t>Anthony Wall</t>
  </si>
  <si>
    <t>P1861</t>
  </si>
  <si>
    <t>Sarah Garcia</t>
  </si>
  <si>
    <t>P1862</t>
  </si>
  <si>
    <t>Jonathan Miller</t>
  </si>
  <si>
    <t>P1863</t>
  </si>
  <si>
    <t>Nicholas Parker</t>
  </si>
  <si>
    <t>P1864</t>
  </si>
  <si>
    <t>Jeffery Boyd</t>
  </si>
  <si>
    <t>P1865</t>
  </si>
  <si>
    <t>Michael Allen</t>
  </si>
  <si>
    <t>P1866</t>
  </si>
  <si>
    <t>Heather Bates</t>
  </si>
  <si>
    <t>P1867</t>
  </si>
  <si>
    <t>Tracy Hurst</t>
  </si>
  <si>
    <t>P1868</t>
  </si>
  <si>
    <t>P1869</t>
  </si>
  <si>
    <t>Daniel Austin</t>
  </si>
  <si>
    <t>P1870</t>
  </si>
  <si>
    <t>Melissa Trevino</t>
  </si>
  <si>
    <t>P1871</t>
  </si>
  <si>
    <t>Kayla Foster</t>
  </si>
  <si>
    <t>P1872</t>
  </si>
  <si>
    <t>Kevin Jimenez</t>
  </si>
  <si>
    <t>P1873</t>
  </si>
  <si>
    <t>Alexandra Moore</t>
  </si>
  <si>
    <t>P1874</t>
  </si>
  <si>
    <t>Emily Barnes</t>
  </si>
  <si>
    <t>P1875</t>
  </si>
  <si>
    <t>Melissa Holden</t>
  </si>
  <si>
    <t>P1876</t>
  </si>
  <si>
    <t>Christopher Brooks</t>
  </si>
  <si>
    <t>P1877</t>
  </si>
  <si>
    <t>Jillian Johnston DVM</t>
  </si>
  <si>
    <t>P1878</t>
  </si>
  <si>
    <t>David Hernandez</t>
  </si>
  <si>
    <t>P1879</t>
  </si>
  <si>
    <t>Michael Thomas</t>
  </si>
  <si>
    <t>P1880</t>
  </si>
  <si>
    <t>Stephanie Brown</t>
  </si>
  <si>
    <t>P1881</t>
  </si>
  <si>
    <t>Shawn Gonzales</t>
  </si>
  <si>
    <t>P1882</t>
  </si>
  <si>
    <t>Jeremy Wood</t>
  </si>
  <si>
    <t>P1883</t>
  </si>
  <si>
    <t>Andrew Zavala</t>
  </si>
  <si>
    <t>P1884</t>
  </si>
  <si>
    <t>Destiny Jones</t>
  </si>
  <si>
    <t>P1885</t>
  </si>
  <si>
    <t>William Kennedy</t>
  </si>
  <si>
    <t>P1886</t>
  </si>
  <si>
    <t>Karen Fox</t>
  </si>
  <si>
    <t>P1887</t>
  </si>
  <si>
    <t>John Cooper</t>
  </si>
  <si>
    <t>P1888</t>
  </si>
  <si>
    <t>James Kline</t>
  </si>
  <si>
    <t>P1889</t>
  </si>
  <si>
    <t>Stephanie Weaver</t>
  </si>
  <si>
    <t>P1890</t>
  </si>
  <si>
    <t>Alexa Garcia</t>
  </si>
  <si>
    <t>P1891</t>
  </si>
  <si>
    <t>Annette Johnson</t>
  </si>
  <si>
    <t>P1892</t>
  </si>
  <si>
    <t>Christine Watson</t>
  </si>
  <si>
    <t>P1893</t>
  </si>
  <si>
    <t>Morgan Chung</t>
  </si>
  <si>
    <t>P1894</t>
  </si>
  <si>
    <t>Charles Simmons</t>
  </si>
  <si>
    <t>P1895</t>
  </si>
  <si>
    <t>William Rivera</t>
  </si>
  <si>
    <t>P1896</t>
  </si>
  <si>
    <t>Lindsay Contreras</t>
  </si>
  <si>
    <t>P1897</t>
  </si>
  <si>
    <t>Katherine Richard</t>
  </si>
  <si>
    <t>P1898</t>
  </si>
  <si>
    <t>Austin Jones</t>
  </si>
  <si>
    <t>P1899</t>
  </si>
  <si>
    <t>Troy Price</t>
  </si>
  <si>
    <t>P1900</t>
  </si>
  <si>
    <t>Todd Walker</t>
  </si>
  <si>
    <t>P1901</t>
  </si>
  <si>
    <t>Dr. George Smith DVM</t>
  </si>
  <si>
    <t>P1902</t>
  </si>
  <si>
    <t>Robert Reese</t>
  </si>
  <si>
    <t>P1903</t>
  </si>
  <si>
    <t>Dakota Benson</t>
  </si>
  <si>
    <t>P1904</t>
  </si>
  <si>
    <t>Morgan Johnson</t>
  </si>
  <si>
    <t>P1905</t>
  </si>
  <si>
    <t>William Oneill</t>
  </si>
  <si>
    <t>P1906</t>
  </si>
  <si>
    <t>Frederick Alvarez</t>
  </si>
  <si>
    <t>P1907</t>
  </si>
  <si>
    <t>Thomas Cooper</t>
  </si>
  <si>
    <t>P1908</t>
  </si>
  <si>
    <t>Mindy Rose</t>
  </si>
  <si>
    <t>P1909</t>
  </si>
  <si>
    <t>David Cole</t>
  </si>
  <si>
    <t>P1910</t>
  </si>
  <si>
    <t>Tricia Graham</t>
  </si>
  <si>
    <t>P1911</t>
  </si>
  <si>
    <t>Daniel Bryant</t>
  </si>
  <si>
    <t>P1912</t>
  </si>
  <si>
    <t>Michael Brady</t>
  </si>
  <si>
    <t>P1913</t>
  </si>
  <si>
    <t>Shawn Noble</t>
  </si>
  <si>
    <t>P1914</t>
  </si>
  <si>
    <t>Richard Rodriguez</t>
  </si>
  <si>
    <t>P1915</t>
  </si>
  <si>
    <t>Kristina Black</t>
  </si>
  <si>
    <t>P1916</t>
  </si>
  <si>
    <t>Kelly Davis</t>
  </si>
  <si>
    <t>P1917</t>
  </si>
  <si>
    <t>Brian Moore</t>
  </si>
  <si>
    <t>P1918</t>
  </si>
  <si>
    <t>Jacob Ryan</t>
  </si>
  <si>
    <t>P1919</t>
  </si>
  <si>
    <t>Zachary Jones</t>
  </si>
  <si>
    <t>P1920</t>
  </si>
  <si>
    <t>Alyssa Moses</t>
  </si>
  <si>
    <t>P1921</t>
  </si>
  <si>
    <t>Rachel Haynes</t>
  </si>
  <si>
    <t>P1922</t>
  </si>
  <si>
    <t>Scott Hernandez</t>
  </si>
  <si>
    <t>P1923</t>
  </si>
  <si>
    <t>Brian Simmons</t>
  </si>
  <si>
    <t>P1924</t>
  </si>
  <si>
    <t>Richard Miller</t>
  </si>
  <si>
    <t>P1925</t>
  </si>
  <si>
    <t>Toni Smith</t>
  </si>
  <si>
    <t>P1926</t>
  </si>
  <si>
    <t>Amanda Gonzalez</t>
  </si>
  <si>
    <t>P1927</t>
  </si>
  <si>
    <t>David Young</t>
  </si>
  <si>
    <t>P1928</t>
  </si>
  <si>
    <t>Darin Bailey</t>
  </si>
  <si>
    <t>P1929</t>
  </si>
  <si>
    <t>Kathy Parker</t>
  </si>
  <si>
    <t>P1930</t>
  </si>
  <si>
    <t>Jared Martin</t>
  </si>
  <si>
    <t>P1931</t>
  </si>
  <si>
    <t>Joseph Ortiz</t>
  </si>
  <si>
    <t>P1932</t>
  </si>
  <si>
    <t>Alyssa Phillips</t>
  </si>
  <si>
    <t>P1933</t>
  </si>
  <si>
    <t>April Castillo</t>
  </si>
  <si>
    <t>P1934</t>
  </si>
  <si>
    <t>Kimberly Brown</t>
  </si>
  <si>
    <t>P1935</t>
  </si>
  <si>
    <t>Jessica Briggs</t>
  </si>
  <si>
    <t>P1936</t>
  </si>
  <si>
    <t>Troy Benson</t>
  </si>
  <si>
    <t>P1937</t>
  </si>
  <si>
    <t>Tyler Elliott</t>
  </si>
  <si>
    <t>P1938</t>
  </si>
  <si>
    <t>Luke Hood</t>
  </si>
  <si>
    <t>P1939</t>
  </si>
  <si>
    <t>Jim Torres</t>
  </si>
  <si>
    <t>P1940</t>
  </si>
  <si>
    <t>Mark Vazquez</t>
  </si>
  <si>
    <t>P1941</t>
  </si>
  <si>
    <t>Joseph Hanna</t>
  </si>
  <si>
    <t>P1942</t>
  </si>
  <si>
    <t>Douglas Brock</t>
  </si>
  <si>
    <t>P1943</t>
  </si>
  <si>
    <t>Mary Rose</t>
  </si>
  <si>
    <t>P1944</t>
  </si>
  <si>
    <t>Michelle Robbins</t>
  </si>
  <si>
    <t>P1945</t>
  </si>
  <si>
    <t>Angela Smith</t>
  </si>
  <si>
    <t>P1946</t>
  </si>
  <si>
    <t>Kimberly Ward</t>
  </si>
  <si>
    <t>P1947</t>
  </si>
  <si>
    <t>Charles Wilson</t>
  </si>
  <si>
    <t>P1948</t>
  </si>
  <si>
    <t>Paul Roberts</t>
  </si>
  <si>
    <t>P1949</t>
  </si>
  <si>
    <t>Jasmine Espinoza</t>
  </si>
  <si>
    <t>P1950</t>
  </si>
  <si>
    <t>Loretta Taylor</t>
  </si>
  <si>
    <t>P1951</t>
  </si>
  <si>
    <t>Tracy Molina</t>
  </si>
  <si>
    <t>P1952</t>
  </si>
  <si>
    <t>Jose Moore</t>
  </si>
  <si>
    <t>P1953</t>
  </si>
  <si>
    <t>Victoria Brown</t>
  </si>
  <si>
    <t>P1954</t>
  </si>
  <si>
    <t>Erin Yates</t>
  </si>
  <si>
    <t>P1955</t>
  </si>
  <si>
    <t>Jamie Summers</t>
  </si>
  <si>
    <t>P1956</t>
  </si>
  <si>
    <t>Cynthia Wallace</t>
  </si>
  <si>
    <t>P1957</t>
  </si>
  <si>
    <t>Nicole Fowler</t>
  </si>
  <si>
    <t>P1958</t>
  </si>
  <si>
    <t>Daniel Lucas</t>
  </si>
  <si>
    <t>P1959</t>
  </si>
  <si>
    <t>Katrina Turner</t>
  </si>
  <si>
    <t>P1960</t>
  </si>
  <si>
    <t>Zachary Mendez</t>
  </si>
  <si>
    <t>P1961</t>
  </si>
  <si>
    <t>Amy Harris</t>
  </si>
  <si>
    <t>P1962</t>
  </si>
  <si>
    <t>Robert Shaw</t>
  </si>
  <si>
    <t>P1963</t>
  </si>
  <si>
    <t>Jason Stewart</t>
  </si>
  <si>
    <t>P1964</t>
  </si>
  <si>
    <t>Katherine Crawford</t>
  </si>
  <si>
    <t>P1965</t>
  </si>
  <si>
    <t>Keith Davis</t>
  </si>
  <si>
    <t>P1966</t>
  </si>
  <si>
    <t>Jason Martinez</t>
  </si>
  <si>
    <t>P1967</t>
  </si>
  <si>
    <t>Randall Santana</t>
  </si>
  <si>
    <t>P1968</t>
  </si>
  <si>
    <t>Diane Thomas</t>
  </si>
  <si>
    <t>P1969</t>
  </si>
  <si>
    <t>Cynthia Lawrence</t>
  </si>
  <si>
    <t>P1970</t>
  </si>
  <si>
    <t>Trevor Green</t>
  </si>
  <si>
    <t>P1971</t>
  </si>
  <si>
    <t>Sarah Weber</t>
  </si>
  <si>
    <t>P1972</t>
  </si>
  <si>
    <t>Mrs. Michelle Gardner PhD</t>
  </si>
  <si>
    <t>P1973</t>
  </si>
  <si>
    <t>Anthony Brandt</t>
  </si>
  <si>
    <t>P1974</t>
  </si>
  <si>
    <t>Christina Martin</t>
  </si>
  <si>
    <t>P1975</t>
  </si>
  <si>
    <t>Julie Soto</t>
  </si>
  <si>
    <t>P1976</t>
  </si>
  <si>
    <t>Michelle Waller</t>
  </si>
  <si>
    <t>P1977</t>
  </si>
  <si>
    <t>Howard Horton</t>
  </si>
  <si>
    <t>P1978</t>
  </si>
  <si>
    <t>Ryan Morales</t>
  </si>
  <si>
    <t>P1979</t>
  </si>
  <si>
    <t>Dustin Pitts</t>
  </si>
  <si>
    <t>P1980</t>
  </si>
  <si>
    <t>Mrs. Jennifer Clark</t>
  </si>
  <si>
    <t>P1981</t>
  </si>
  <si>
    <t>Jean Vaughn</t>
  </si>
  <si>
    <t>P1982</t>
  </si>
  <si>
    <t>Brian Vasquez</t>
  </si>
  <si>
    <t>P1983</t>
  </si>
  <si>
    <t>Kristy Gilmore</t>
  </si>
  <si>
    <t>P1984</t>
  </si>
  <si>
    <t>Adam Richardson</t>
  </si>
  <si>
    <t>P1985</t>
  </si>
  <si>
    <t>Todd Pruitt</t>
  </si>
  <si>
    <t>P1986</t>
  </si>
  <si>
    <t>Kimberly Jones</t>
  </si>
  <si>
    <t>P1987</t>
  </si>
  <si>
    <t>Jasmine Johnson</t>
  </si>
  <si>
    <t>P1988</t>
  </si>
  <si>
    <t>Shawn Davis</t>
  </si>
  <si>
    <t>P1989</t>
  </si>
  <si>
    <t>Christopher Castro</t>
  </si>
  <si>
    <t>P1990</t>
  </si>
  <si>
    <t>Laurie Ramos</t>
  </si>
  <si>
    <t>P1991</t>
  </si>
  <si>
    <t>Karen Maldonado</t>
  </si>
  <si>
    <t>P1992</t>
  </si>
  <si>
    <t>Teresa Carr</t>
  </si>
  <si>
    <t>P1993</t>
  </si>
  <si>
    <t>Timothy James</t>
  </si>
  <si>
    <t>P1994</t>
  </si>
  <si>
    <t>Brent Berg</t>
  </si>
  <si>
    <t>P1995</t>
  </si>
  <si>
    <t>Austin Harrington</t>
  </si>
  <si>
    <t>P1996</t>
  </si>
  <si>
    <t>Sara Thomas</t>
  </si>
  <si>
    <t>P1997</t>
  </si>
  <si>
    <t>Renee Thompson</t>
  </si>
  <si>
    <t>P1998</t>
  </si>
  <si>
    <t>Sarah Sanders</t>
  </si>
  <si>
    <t>P1999</t>
  </si>
  <si>
    <t>Victoria Cooper</t>
  </si>
  <si>
    <t>task1</t>
  </si>
  <si>
    <t>task2</t>
  </si>
  <si>
    <t>task3</t>
  </si>
  <si>
    <t>Row Labels</t>
  </si>
  <si>
    <t>Grand Total</t>
  </si>
  <si>
    <t>Column Labels</t>
  </si>
  <si>
    <t>Count of Name</t>
  </si>
  <si>
    <t xml:space="preserve"> Department-wise Billing Status </t>
  </si>
  <si>
    <t xml:space="preserve">task 4 </t>
  </si>
  <si>
    <t xml:space="preserve"> task 5</t>
  </si>
  <si>
    <t xml:space="preserve"> Treatment Costs by Physician </t>
  </si>
  <si>
    <t>Sum of Treatment Cost</t>
  </si>
  <si>
    <t>Average of Length of Stay (Days)</t>
  </si>
  <si>
    <t>task 6</t>
  </si>
  <si>
    <t xml:space="preserve"> Length of Stay by Room Type</t>
  </si>
  <si>
    <t>task 7</t>
  </si>
  <si>
    <t>Hospital Management Analytics</t>
  </si>
  <si>
    <t>Patient count by room type.</t>
  </si>
  <si>
    <t>Average length of stay by department.</t>
  </si>
  <si>
    <t>Count of Billing Status</t>
  </si>
  <si>
    <t>Count of Patient ID</t>
  </si>
  <si>
    <t>ADFRT1234</t>
  </si>
  <si>
    <t>ADFRT1254</t>
  </si>
  <si>
    <t>ADFRT12534</t>
  </si>
  <si>
    <t>ADFRT12734</t>
  </si>
  <si>
    <t>ADFRT12834</t>
  </si>
  <si>
    <t>sum of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</si>
</sst>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4" tint="-0.499984740745262"/>
      <name val="Algerian"/>
      <family val="5"/>
    </font>
    <font>
      <b/>
      <sz val="22"/>
      <color theme="2"/>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4" fontId="0" fillId="0" borderId="0" xfId="0" applyNumberFormat="1"/>
    <xf numFmtId="0" fontId="0" fillId="33" borderId="0" xfId="0" applyFill="1"/>
    <xf numFmtId="0" fontId="16" fillId="33" borderId="0" xfId="0" applyFont="1" applyFill="1"/>
    <xf numFmtId="0" fontId="0" fillId="0" borderId="0" xfId="0" pivotButton="1"/>
    <xf numFmtId="0" fontId="0" fillId="0" borderId="0" xfId="0" applyAlignment="1">
      <alignment horizontal="left"/>
    </xf>
    <xf numFmtId="0" fontId="16" fillId="33" borderId="0" xfId="0" applyFont="1" applyFill="1" applyAlignment="1">
      <alignment horizontal="left"/>
    </xf>
    <xf numFmtId="0" fontId="16" fillId="33" borderId="10" xfId="0" applyFont="1" applyFill="1" applyBorder="1" applyAlignment="1">
      <alignment horizontal="left"/>
    </xf>
    <xf numFmtId="0" fontId="0" fillId="34" borderId="0" xfId="0" applyFill="1"/>
    <xf numFmtId="0" fontId="0" fillId="0" borderId="10" xfId="0" pivotButton="1" applyBorder="1"/>
    <xf numFmtId="0" fontId="0" fillId="0" borderId="10" xfId="0" applyBorder="1"/>
    <xf numFmtId="0" fontId="0" fillId="0" borderId="10" xfId="0" applyBorder="1" applyAlignment="1">
      <alignment horizontal="left"/>
    </xf>
    <xf numFmtId="0" fontId="0" fillId="36" borderId="0" xfId="0" applyFill="1"/>
    <xf numFmtId="0" fontId="0" fillId="37" borderId="0" xfId="0" applyFill="1"/>
    <xf numFmtId="0" fontId="16" fillId="33" borderId="10" xfId="0" applyFont="1" applyFill="1" applyBorder="1" applyAlignment="1">
      <alignment horizontal="center"/>
    </xf>
    <xf numFmtId="0" fontId="16" fillId="33" borderId="0" xfId="0" applyFont="1" applyFill="1" applyAlignment="1">
      <alignment horizontal="center"/>
    </xf>
    <xf numFmtId="0" fontId="18" fillId="35" borderId="11" xfId="0" applyFont="1" applyFill="1" applyBorder="1" applyAlignment="1">
      <alignment horizontal="center"/>
    </xf>
    <xf numFmtId="0" fontId="18" fillId="35" borderId="12" xfId="0" applyFont="1" applyFill="1" applyBorder="1" applyAlignment="1">
      <alignment horizontal="center"/>
    </xf>
    <xf numFmtId="0" fontId="18" fillId="35" borderId="13" xfId="0" applyFont="1" applyFill="1" applyBorder="1" applyAlignment="1">
      <alignment horizontal="center"/>
    </xf>
    <xf numFmtId="0" fontId="18" fillId="35" borderId="14" xfId="0" applyFont="1" applyFill="1" applyBorder="1" applyAlignment="1">
      <alignment horizontal="center"/>
    </xf>
    <xf numFmtId="0" fontId="18" fillId="35" borderId="15" xfId="0" applyFont="1" applyFill="1" applyBorder="1" applyAlignment="1">
      <alignment horizontal="center"/>
    </xf>
    <xf numFmtId="0" fontId="18" fillId="35" borderId="16" xfId="0" applyFont="1" applyFill="1" applyBorder="1" applyAlignment="1">
      <alignment horizontal="center"/>
    </xf>
    <xf numFmtId="0" fontId="19" fillId="37" borderId="0" xfId="0" applyFont="1" applyFill="1" applyAlignment="1">
      <alignment horizontal="center"/>
    </xf>
    <xf numFmtId="0" fontId="0" fillId="0" borderId="0" xfId="0" applyNumberFormat="1"/>
    <xf numFmtId="0" fontId="0" fillId="0" borderId="10" xfId="0" applyNumberFormat="1" applyBorder="1"/>
    <xf numFmtId="0" fontId="0" fillId="38"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5">
    <dxf>
      <fill>
        <patternFill patternType="solid">
          <bgColor theme="0"/>
        </patternFill>
      </fill>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1"/>
      </font>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[Hospital_Management_Large.xlsx]Sheet1!PivotTable2</c:name>
    <c:fmtId val="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 Treatment Costs by Physician </a:t>
            </a:r>
          </a:p>
        </c:rich>
      </c:tx>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Sheet1!$A$19:$A$26</c:f>
              <c:strCache>
                <c:ptCount val="7"/>
                <c:pt idx="0">
                  <c:v>Dr. Adams</c:v>
                </c:pt>
                <c:pt idx="1">
                  <c:v>Dr. Baker</c:v>
                </c:pt>
                <c:pt idx="2">
                  <c:v>Dr. Chen</c:v>
                </c:pt>
                <c:pt idx="3">
                  <c:v>Dr. Khan</c:v>
                </c:pt>
                <c:pt idx="4">
                  <c:v>Dr. Mehta</c:v>
                </c:pt>
                <c:pt idx="5">
                  <c:v>Dr. Patel</c:v>
                </c:pt>
                <c:pt idx="6">
                  <c:v>Dr. White</c:v>
                </c:pt>
              </c:strCache>
            </c:strRef>
          </c:cat>
          <c:val>
            <c:numRef>
              <c:f>Sheet1!$B$19:$B$26</c:f>
              <c:numCache>
                <c:formatCode>General</c:formatCode>
                <c:ptCount val="7"/>
                <c:pt idx="0">
                  <c:v>821610</c:v>
                </c:pt>
                <c:pt idx="1">
                  <c:v>796892</c:v>
                </c:pt>
                <c:pt idx="2">
                  <c:v>835936</c:v>
                </c:pt>
                <c:pt idx="3">
                  <c:v>774395</c:v>
                </c:pt>
                <c:pt idx="4">
                  <c:v>966996</c:v>
                </c:pt>
                <c:pt idx="5">
                  <c:v>671044</c:v>
                </c:pt>
                <c:pt idx="6">
                  <c:v>719272</c:v>
                </c:pt>
              </c:numCache>
            </c:numRef>
          </c:val>
          <c:extLst>
            <c:ext xmlns:c16="http://schemas.microsoft.com/office/drawing/2014/chart" uri="{C3380CC4-5D6E-409C-BE32-E72D297353CC}">
              <c16:uniqueId val="{00000000-D164-4216-A241-573E06414AB2}"/>
            </c:ext>
          </c:extLst>
        </c:ser>
        <c:dLbls>
          <c:dLblPos val="outEnd"/>
          <c:showLegendKey val="0"/>
          <c:showVal val="1"/>
          <c:showCatName val="0"/>
          <c:showSerName val="0"/>
          <c:showPercent val="0"/>
          <c:showBubbleSize val="0"/>
        </c:dLbls>
        <c:gapWidth val="100"/>
        <c:overlap val="-24"/>
        <c:axId val="198817647"/>
        <c:axId val="198814767"/>
      </c:barChart>
      <c:catAx>
        <c:axId val="198817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814767"/>
        <c:crosses val="autoZero"/>
        <c:auto val="1"/>
        <c:lblAlgn val="ctr"/>
        <c:lblOffset val="100"/>
        <c:noMultiLvlLbl val="0"/>
      </c:catAx>
      <c:valAx>
        <c:axId val="19881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81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[Hospital_Management_Large.xlsx]Sheet1!PivotTable1</c:name>
    <c:fmtId val="22"/>
  </c:pivotSource>
  <c:chart>
    <c:title>
      <c:tx>
        <c:rich>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r>
              <a:rPr lang="en-IN"/>
              <a:t> Department-wise Billing Status </a:t>
            </a:r>
          </a:p>
        </c:rich>
      </c:tx>
      <c:layout>
        <c:manualLayout>
          <c:xMode val="edge"/>
          <c:yMode val="edge"/>
          <c:x val="0.11419002396934656"/>
          <c:y val="0.10450488346719597"/>
        </c:manualLayout>
      </c:layout>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endParaRPr lang="en-US"/>
        </a:p>
      </c:txPr>
    </c:title>
    <c:autoTitleDeleted val="0"/>
    <c:pivotFmts>
      <c:pivotFmt>
        <c:idx val="0"/>
        <c:spPr>
          <a:ln w="22225" cap="rnd">
            <a:solidFill>
              <a:schemeClr val="accent2"/>
            </a:solidFill>
            <a:round/>
          </a:ln>
          <a:effectLst/>
        </c:spPr>
        <c:marker>
          <c:symbol val="circle"/>
          <c:size val="6"/>
          <c:spPr>
            <a:solidFill>
              <a:schemeClr val="lt1"/>
            </a:solidFill>
            <a:ln w="15875">
              <a:solidFill>
                <a:schemeClr val="accent2">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2"/>
            </a:solidFill>
            <a:round/>
          </a:ln>
          <a:effectLst/>
        </c:spPr>
        <c:marker>
          <c:symbol val="circle"/>
          <c:size val="6"/>
          <c:spPr>
            <a:solidFill>
              <a:schemeClr val="lt1"/>
            </a:solidFill>
            <a:ln w="15875">
              <a:solidFill>
                <a:schemeClr val="accent2">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Paid</c:v>
                </c:pt>
              </c:strCache>
            </c:strRef>
          </c:tx>
          <c:spPr>
            <a:ln w="22225" cap="rnd">
              <a:solidFill>
                <a:schemeClr val="accent2">
                  <a:shade val="76000"/>
                </a:schemeClr>
              </a:solidFill>
              <a:round/>
            </a:ln>
            <a:effectLst/>
          </c:spPr>
          <c:marker>
            <c:symbol val="circle"/>
            <c:size val="6"/>
            <c:spPr>
              <a:solidFill>
                <a:schemeClr val="lt1"/>
              </a:solidFill>
              <a:ln w="15875">
                <a:solidFill>
                  <a:schemeClr val="accent2">
                    <a:shade val="76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Sheet1!$A$5:$A$12</c:f>
              <c:strCache>
                <c:ptCount val="7"/>
                <c:pt idx="0">
                  <c:v>Cardiology</c:v>
                </c:pt>
                <c:pt idx="1">
                  <c:v>Dermatology</c:v>
                </c:pt>
                <c:pt idx="2">
                  <c:v>ENT</c:v>
                </c:pt>
                <c:pt idx="3">
                  <c:v>Gastroenterology</c:v>
                </c:pt>
                <c:pt idx="4">
                  <c:v>Neurology</c:v>
                </c:pt>
                <c:pt idx="5">
                  <c:v>Orthopedics</c:v>
                </c:pt>
                <c:pt idx="6">
                  <c:v>Pediatrics</c:v>
                </c:pt>
              </c:strCache>
            </c:strRef>
          </c:cat>
          <c:val>
            <c:numRef>
              <c:f>Sheet1!$B$5:$B$12</c:f>
              <c:numCache>
                <c:formatCode>General</c:formatCode>
                <c:ptCount val="7"/>
                <c:pt idx="0">
                  <c:v>87</c:v>
                </c:pt>
                <c:pt idx="1">
                  <c:v>81</c:v>
                </c:pt>
                <c:pt idx="2">
                  <c:v>55</c:v>
                </c:pt>
                <c:pt idx="3">
                  <c:v>71</c:v>
                </c:pt>
                <c:pt idx="4">
                  <c:v>62</c:v>
                </c:pt>
                <c:pt idx="5">
                  <c:v>82</c:v>
                </c:pt>
                <c:pt idx="6">
                  <c:v>58</c:v>
                </c:pt>
              </c:numCache>
            </c:numRef>
          </c:val>
          <c:smooth val="0"/>
          <c:extLst>
            <c:ext xmlns:c16="http://schemas.microsoft.com/office/drawing/2014/chart" uri="{C3380CC4-5D6E-409C-BE32-E72D297353CC}">
              <c16:uniqueId val="{00000000-99FE-482B-A9A3-DE228735D53D}"/>
            </c:ext>
          </c:extLst>
        </c:ser>
        <c:ser>
          <c:idx val="1"/>
          <c:order val="1"/>
          <c:tx>
            <c:strRef>
              <c:f>Sheet1!$C$3:$C$4</c:f>
              <c:strCache>
                <c:ptCount val="1"/>
                <c:pt idx="0">
                  <c:v>Unpaid</c:v>
                </c:pt>
              </c:strCache>
            </c:strRef>
          </c:tx>
          <c:spPr>
            <a:ln w="22225" cap="rnd">
              <a:solidFill>
                <a:schemeClr val="accent2">
                  <a:tint val="77000"/>
                </a:schemeClr>
              </a:solidFill>
              <a:round/>
            </a:ln>
            <a:effectLst/>
          </c:spPr>
          <c:marker>
            <c:symbol val="circle"/>
            <c:size val="6"/>
            <c:spPr>
              <a:solidFill>
                <a:schemeClr val="lt1"/>
              </a:solidFill>
              <a:ln w="15875">
                <a:solidFill>
                  <a:schemeClr val="accent2">
                    <a:tint val="77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Sheet1!$A$5:$A$12</c:f>
              <c:strCache>
                <c:ptCount val="7"/>
                <c:pt idx="0">
                  <c:v>Cardiology</c:v>
                </c:pt>
                <c:pt idx="1">
                  <c:v>Dermatology</c:v>
                </c:pt>
                <c:pt idx="2">
                  <c:v>ENT</c:v>
                </c:pt>
                <c:pt idx="3">
                  <c:v>Gastroenterology</c:v>
                </c:pt>
                <c:pt idx="4">
                  <c:v>Neurology</c:v>
                </c:pt>
                <c:pt idx="5">
                  <c:v>Orthopedics</c:v>
                </c:pt>
                <c:pt idx="6">
                  <c:v>Pediatrics</c:v>
                </c:pt>
              </c:strCache>
            </c:strRef>
          </c:cat>
          <c:val>
            <c:numRef>
              <c:f>Sheet1!$C$5:$C$12</c:f>
              <c:numCache>
                <c:formatCode>General</c:formatCode>
                <c:ptCount val="7"/>
                <c:pt idx="0">
                  <c:v>83</c:v>
                </c:pt>
                <c:pt idx="1">
                  <c:v>63</c:v>
                </c:pt>
                <c:pt idx="2">
                  <c:v>78</c:v>
                </c:pt>
                <c:pt idx="3">
                  <c:v>79</c:v>
                </c:pt>
                <c:pt idx="4">
                  <c:v>72</c:v>
                </c:pt>
                <c:pt idx="5">
                  <c:v>64</c:v>
                </c:pt>
                <c:pt idx="6">
                  <c:v>65</c:v>
                </c:pt>
              </c:numCache>
            </c:numRef>
          </c:val>
          <c:smooth val="0"/>
          <c:extLst>
            <c:ext xmlns:c16="http://schemas.microsoft.com/office/drawing/2014/chart" uri="{C3380CC4-5D6E-409C-BE32-E72D297353CC}">
              <c16:uniqueId val="{00000001-99FE-482B-A9A3-DE228735D53D}"/>
            </c:ext>
          </c:extLst>
        </c:ser>
        <c:dLbls>
          <c:dLblPos val="t"/>
          <c:showLegendKey val="0"/>
          <c:showVal val="1"/>
          <c:showCatName val="0"/>
          <c:showSerName val="0"/>
          <c:showPercent val="0"/>
          <c:showBubbleSize val="0"/>
        </c:dLbls>
        <c:marker val="1"/>
        <c:smooth val="0"/>
        <c:axId val="489253647"/>
        <c:axId val="489250767"/>
      </c:lineChart>
      <c:catAx>
        <c:axId val="48925364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489250767"/>
        <c:crosses val="autoZero"/>
        <c:auto val="1"/>
        <c:lblAlgn val="ctr"/>
        <c:lblOffset val="100"/>
        <c:noMultiLvlLbl val="0"/>
      </c:catAx>
      <c:valAx>
        <c:axId val="48925076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89253647"/>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[Hospital_Management_Large.xlsx]Sheet1!PivotTable3</c:name>
    <c:fmtId val="3"/>
  </c:pivotSource>
  <c:chart>
    <c:title>
      <c:tx>
        <c:rich>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r>
              <a:rPr lang="en-IN" sz="1400" b="1" i="0" u="none" strike="noStrike" cap="all" baseline="0"/>
              <a:t> Length of Stay by Room Type</a:t>
            </a:r>
            <a:endParaRPr lang="en-US"/>
          </a:p>
        </c:rich>
      </c:tx>
      <c:layout>
        <c:manualLayout>
          <c:xMode val="edge"/>
          <c:yMode val="edge"/>
          <c:x val="0.14538917089678513"/>
          <c:y val="0.1454405355293891"/>
        </c:manualLayout>
      </c:layout>
      <c:overlay val="0"/>
      <c:spPr>
        <a:solidFill>
          <a:schemeClr val="accent2">
            <a:lumMod val="75000"/>
          </a:schemeClr>
        </a:solid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Sheet1!$B$31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854-48E9-9191-B550AD3602E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854-48E9-9191-B550AD3602E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854-48E9-9191-B550AD3602E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Sheet1!$A$32:$A$35</c:f>
              <c:strCache>
                <c:ptCount val="3"/>
                <c:pt idx="0">
                  <c:v>Private</c:v>
                </c:pt>
                <c:pt idx="1">
                  <c:v>Semi-Private</c:v>
                </c:pt>
                <c:pt idx="2">
                  <c:v>Shared</c:v>
                </c:pt>
              </c:strCache>
            </c:strRef>
          </c:cat>
          <c:val>
            <c:numRef>
              <c:f>Sheet1!$B$32:$B$35</c:f>
              <c:numCache>
                <c:formatCode>General</c:formatCode>
                <c:ptCount val="3"/>
                <c:pt idx="0">
                  <c:v>7.3925233644859816</c:v>
                </c:pt>
                <c:pt idx="1">
                  <c:v>7.6725663716814161</c:v>
                </c:pt>
                <c:pt idx="2">
                  <c:v>7.4058823529411768</c:v>
                </c:pt>
              </c:numCache>
            </c:numRef>
          </c:val>
          <c:extLst>
            <c:ext xmlns:c16="http://schemas.microsoft.com/office/drawing/2014/chart" uri="{C3380CC4-5D6E-409C-BE32-E72D297353CC}">
              <c16:uniqueId val="{00000000-69C2-42B8-9AEC-566F67BAD637}"/>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[Hospital_Management_Large.xlsx]Sheet1!PivotTable2</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 Treatment Costs by Physician </a:t>
            </a:r>
          </a:p>
        </c:rich>
      </c:tx>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Sheet1!$A$19:$A$26</c:f>
              <c:strCache>
                <c:ptCount val="7"/>
                <c:pt idx="0">
                  <c:v>Dr. Adams</c:v>
                </c:pt>
                <c:pt idx="1">
                  <c:v>Dr. Baker</c:v>
                </c:pt>
                <c:pt idx="2">
                  <c:v>Dr. Chen</c:v>
                </c:pt>
                <c:pt idx="3">
                  <c:v>Dr. Khan</c:v>
                </c:pt>
                <c:pt idx="4">
                  <c:v>Dr. Mehta</c:v>
                </c:pt>
                <c:pt idx="5">
                  <c:v>Dr. Patel</c:v>
                </c:pt>
                <c:pt idx="6">
                  <c:v>Dr. White</c:v>
                </c:pt>
              </c:strCache>
            </c:strRef>
          </c:cat>
          <c:val>
            <c:numRef>
              <c:f>Sheet1!$B$19:$B$26</c:f>
              <c:numCache>
                <c:formatCode>General</c:formatCode>
                <c:ptCount val="7"/>
                <c:pt idx="0">
                  <c:v>821610</c:v>
                </c:pt>
                <c:pt idx="1">
                  <c:v>796892</c:v>
                </c:pt>
                <c:pt idx="2">
                  <c:v>835936</c:v>
                </c:pt>
                <c:pt idx="3">
                  <c:v>774395</c:v>
                </c:pt>
                <c:pt idx="4">
                  <c:v>966996</c:v>
                </c:pt>
                <c:pt idx="5">
                  <c:v>671044</c:v>
                </c:pt>
                <c:pt idx="6">
                  <c:v>719272</c:v>
                </c:pt>
              </c:numCache>
            </c:numRef>
          </c:val>
          <c:extLst>
            <c:ext xmlns:c16="http://schemas.microsoft.com/office/drawing/2014/chart" uri="{C3380CC4-5D6E-409C-BE32-E72D297353CC}">
              <c16:uniqueId val="{00000000-5A57-440F-B098-855673AF92C2}"/>
            </c:ext>
          </c:extLst>
        </c:ser>
        <c:dLbls>
          <c:dLblPos val="outEnd"/>
          <c:showLegendKey val="0"/>
          <c:showVal val="1"/>
          <c:showCatName val="0"/>
          <c:showSerName val="0"/>
          <c:showPercent val="0"/>
          <c:showBubbleSize val="0"/>
        </c:dLbls>
        <c:gapWidth val="100"/>
        <c:overlap val="-24"/>
        <c:axId val="198817647"/>
        <c:axId val="198814767"/>
      </c:barChart>
      <c:catAx>
        <c:axId val="198817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814767"/>
        <c:crosses val="autoZero"/>
        <c:auto val="1"/>
        <c:lblAlgn val="ctr"/>
        <c:lblOffset val="100"/>
        <c:noMultiLvlLbl val="0"/>
      </c:catAx>
      <c:valAx>
        <c:axId val="19881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81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[Hospital_Management_Large.xlsx]Sheet1!PivotTable1</c:name>
    <c:fmtId val="28"/>
  </c:pivotSource>
  <c:chart>
    <c:title>
      <c:tx>
        <c:rich>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r>
              <a:rPr lang="en-IN"/>
              <a:t> Department-wise Billing Status </a:t>
            </a:r>
          </a:p>
        </c:rich>
      </c:tx>
      <c:layout>
        <c:manualLayout>
          <c:xMode val="edge"/>
          <c:yMode val="edge"/>
          <c:x val="0.11419002396934656"/>
          <c:y val="0.10450488346719597"/>
        </c:manualLayout>
      </c:layout>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endParaRPr lang="en-US"/>
        </a:p>
      </c:txPr>
    </c:title>
    <c:autoTitleDeleted val="0"/>
    <c:pivotFmts>
      <c:pivotFmt>
        <c:idx val="0"/>
        <c:spPr>
          <a:solidFill>
            <a:schemeClr val="accent2"/>
          </a:solidFill>
          <a:ln w="22225" cap="rnd">
            <a:solidFill>
              <a:schemeClr val="accent2"/>
            </a:solidFill>
            <a:round/>
          </a:ln>
          <a:effectLst/>
        </c:spPr>
        <c:marker>
          <c:symbol val="circle"/>
          <c:size val="6"/>
          <c:spPr>
            <a:solidFill>
              <a:schemeClr val="lt1"/>
            </a:solidFill>
            <a:ln w="15875">
              <a:solidFill>
                <a:schemeClr val="accent2">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2225" cap="rnd">
            <a:solidFill>
              <a:schemeClr val="accent2"/>
            </a:solidFill>
            <a:round/>
          </a:ln>
          <a:effectLst/>
        </c:spPr>
        <c:marker>
          <c:symbol val="circle"/>
          <c:size val="6"/>
          <c:spPr>
            <a:solidFill>
              <a:schemeClr val="lt1"/>
            </a:solidFill>
            <a:ln w="15875">
              <a:solidFill>
                <a:schemeClr val="accent2">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2225" cap="rnd">
            <a:solidFill>
              <a:schemeClr val="accent2"/>
            </a:solidFill>
            <a:round/>
          </a:ln>
          <a:effectLst/>
        </c:spPr>
        <c:marker>
          <c:symbol val="circle"/>
          <c:size val="6"/>
          <c:spPr>
            <a:solidFill>
              <a:schemeClr val="lt1"/>
            </a:solidFill>
            <a:ln w="15875">
              <a:solidFill>
                <a:schemeClr val="accent2">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2225" cap="rnd">
            <a:solidFill>
              <a:schemeClr val="accent2"/>
            </a:solidFill>
            <a:round/>
          </a:ln>
          <a:effectLst/>
        </c:spPr>
        <c:marker>
          <c:symbol val="circle"/>
          <c:size val="6"/>
          <c:spPr>
            <a:solidFill>
              <a:schemeClr val="lt1"/>
            </a:solidFill>
            <a:ln w="15875">
              <a:solidFill>
                <a:schemeClr val="accent2">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solidFill>
            <a:round/>
          </a:ln>
          <a:effectLst/>
        </c:spPr>
        <c:marker>
          <c:symbol val="circle"/>
          <c:size val="6"/>
          <c:spPr>
            <a:solidFill>
              <a:schemeClr val="lt1"/>
            </a:solidFill>
            <a:ln w="15875">
              <a:solidFill>
                <a:schemeClr val="accent2">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round/>
          </a:ln>
          <a:effectLst/>
        </c:spPr>
        <c:marker>
          <c:symbol val="circle"/>
          <c:size val="6"/>
          <c:spPr>
            <a:solidFill>
              <a:schemeClr val="lt1"/>
            </a:solidFill>
            <a:ln w="15875">
              <a:solidFill>
                <a:schemeClr val="accent2">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21909103467339E-2"/>
          <c:y val="0.33300475598444929"/>
          <c:w val="0.89376135675348278"/>
          <c:h val="0.33351982317999723"/>
        </c:manualLayout>
      </c:layout>
      <c:lineChart>
        <c:grouping val="standard"/>
        <c:varyColors val="0"/>
        <c:ser>
          <c:idx val="0"/>
          <c:order val="0"/>
          <c:tx>
            <c:strRef>
              <c:f>Sheet1!$B$3:$B$4</c:f>
              <c:strCache>
                <c:ptCount val="1"/>
                <c:pt idx="0">
                  <c:v>Paid</c:v>
                </c:pt>
              </c:strCache>
            </c:strRef>
          </c:tx>
          <c:spPr>
            <a:ln w="22225" cap="rnd">
              <a:solidFill>
                <a:schemeClr val="accent2">
                  <a:shade val="76000"/>
                </a:schemeClr>
              </a:solidFill>
              <a:round/>
            </a:ln>
            <a:effectLst/>
          </c:spPr>
          <c:marker>
            <c:symbol val="circle"/>
            <c:size val="6"/>
            <c:spPr>
              <a:solidFill>
                <a:schemeClr val="lt1"/>
              </a:solidFill>
              <a:ln w="15875">
                <a:solidFill>
                  <a:schemeClr val="accent2">
                    <a:shade val="76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Sheet1!$A$5:$A$12</c:f>
              <c:strCache>
                <c:ptCount val="7"/>
                <c:pt idx="0">
                  <c:v>Cardiology</c:v>
                </c:pt>
                <c:pt idx="1">
                  <c:v>Dermatology</c:v>
                </c:pt>
                <c:pt idx="2">
                  <c:v>ENT</c:v>
                </c:pt>
                <c:pt idx="3">
                  <c:v>Gastroenterology</c:v>
                </c:pt>
                <c:pt idx="4">
                  <c:v>Neurology</c:v>
                </c:pt>
                <c:pt idx="5">
                  <c:v>Orthopedics</c:v>
                </c:pt>
                <c:pt idx="6">
                  <c:v>Pediatrics</c:v>
                </c:pt>
              </c:strCache>
            </c:strRef>
          </c:cat>
          <c:val>
            <c:numRef>
              <c:f>Sheet1!$B$5:$B$12</c:f>
              <c:numCache>
                <c:formatCode>General</c:formatCode>
                <c:ptCount val="7"/>
                <c:pt idx="0">
                  <c:v>87</c:v>
                </c:pt>
                <c:pt idx="1">
                  <c:v>81</c:v>
                </c:pt>
                <c:pt idx="2">
                  <c:v>55</c:v>
                </c:pt>
                <c:pt idx="3">
                  <c:v>71</c:v>
                </c:pt>
                <c:pt idx="4">
                  <c:v>62</c:v>
                </c:pt>
                <c:pt idx="5">
                  <c:v>82</c:v>
                </c:pt>
                <c:pt idx="6">
                  <c:v>58</c:v>
                </c:pt>
              </c:numCache>
            </c:numRef>
          </c:val>
          <c:smooth val="0"/>
          <c:extLst>
            <c:ext xmlns:c16="http://schemas.microsoft.com/office/drawing/2014/chart" uri="{C3380CC4-5D6E-409C-BE32-E72D297353CC}">
              <c16:uniqueId val="{00000000-87B3-4A4F-B469-F7F230FF10D0}"/>
            </c:ext>
          </c:extLst>
        </c:ser>
        <c:ser>
          <c:idx val="1"/>
          <c:order val="1"/>
          <c:tx>
            <c:strRef>
              <c:f>Sheet1!$C$3:$C$4</c:f>
              <c:strCache>
                <c:ptCount val="1"/>
                <c:pt idx="0">
                  <c:v>Unpaid</c:v>
                </c:pt>
              </c:strCache>
            </c:strRef>
          </c:tx>
          <c:spPr>
            <a:ln w="22225" cap="rnd">
              <a:solidFill>
                <a:schemeClr val="accent2">
                  <a:tint val="77000"/>
                </a:schemeClr>
              </a:solidFill>
              <a:round/>
            </a:ln>
            <a:effectLst/>
          </c:spPr>
          <c:marker>
            <c:symbol val="circle"/>
            <c:size val="6"/>
            <c:spPr>
              <a:solidFill>
                <a:schemeClr val="lt1"/>
              </a:solidFill>
              <a:ln w="15875">
                <a:solidFill>
                  <a:schemeClr val="accent2">
                    <a:tint val="77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Sheet1!$A$5:$A$12</c:f>
              <c:strCache>
                <c:ptCount val="7"/>
                <c:pt idx="0">
                  <c:v>Cardiology</c:v>
                </c:pt>
                <c:pt idx="1">
                  <c:v>Dermatology</c:v>
                </c:pt>
                <c:pt idx="2">
                  <c:v>ENT</c:v>
                </c:pt>
                <c:pt idx="3">
                  <c:v>Gastroenterology</c:v>
                </c:pt>
                <c:pt idx="4">
                  <c:v>Neurology</c:v>
                </c:pt>
                <c:pt idx="5">
                  <c:v>Orthopedics</c:v>
                </c:pt>
                <c:pt idx="6">
                  <c:v>Pediatrics</c:v>
                </c:pt>
              </c:strCache>
            </c:strRef>
          </c:cat>
          <c:val>
            <c:numRef>
              <c:f>Sheet1!$C$5:$C$12</c:f>
              <c:numCache>
                <c:formatCode>General</c:formatCode>
                <c:ptCount val="7"/>
                <c:pt idx="0">
                  <c:v>83</c:v>
                </c:pt>
                <c:pt idx="1">
                  <c:v>63</c:v>
                </c:pt>
                <c:pt idx="2">
                  <c:v>78</c:v>
                </c:pt>
                <c:pt idx="3">
                  <c:v>79</c:v>
                </c:pt>
                <c:pt idx="4">
                  <c:v>72</c:v>
                </c:pt>
                <c:pt idx="5">
                  <c:v>64</c:v>
                </c:pt>
                <c:pt idx="6">
                  <c:v>65</c:v>
                </c:pt>
              </c:numCache>
            </c:numRef>
          </c:val>
          <c:smooth val="0"/>
          <c:extLst>
            <c:ext xmlns:c16="http://schemas.microsoft.com/office/drawing/2014/chart" uri="{C3380CC4-5D6E-409C-BE32-E72D297353CC}">
              <c16:uniqueId val="{00000001-87B3-4A4F-B469-F7F230FF10D0}"/>
            </c:ext>
          </c:extLst>
        </c:ser>
        <c:dLbls>
          <c:dLblPos val="t"/>
          <c:showLegendKey val="0"/>
          <c:showVal val="1"/>
          <c:showCatName val="0"/>
          <c:showSerName val="0"/>
          <c:showPercent val="0"/>
          <c:showBubbleSize val="0"/>
        </c:dLbls>
        <c:marker val="1"/>
        <c:smooth val="0"/>
        <c:axId val="489253647"/>
        <c:axId val="489250767"/>
      </c:lineChart>
      <c:catAx>
        <c:axId val="48925364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489250767"/>
        <c:crosses val="autoZero"/>
        <c:auto val="1"/>
        <c:lblAlgn val="ctr"/>
        <c:lblOffset val="100"/>
        <c:noMultiLvlLbl val="0"/>
      </c:catAx>
      <c:valAx>
        <c:axId val="48925076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89253647"/>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[Hospital_Management_Large.xlsx]Sheet1!PivotTable3</c:name>
    <c:fmtId val="8"/>
  </c:pivotSource>
  <c:chart>
    <c:title>
      <c:tx>
        <c:rich>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r>
              <a:rPr lang="en-IN" sz="1400" b="1" i="0" u="none" strike="noStrike" cap="all" baseline="0"/>
              <a:t> Length of Stay by Room Type</a:t>
            </a:r>
            <a:endParaRPr lang="en-US"/>
          </a:p>
        </c:rich>
      </c:tx>
      <c:layout>
        <c:manualLayout>
          <c:xMode val="edge"/>
          <c:yMode val="edge"/>
          <c:x val="0.14538917089678513"/>
          <c:y val="0.1454405355293891"/>
        </c:manualLayout>
      </c:layout>
      <c:overlay val="0"/>
      <c:spPr>
        <a:solidFill>
          <a:schemeClr val="accent2">
            <a:lumMod val="75000"/>
          </a:schemeClr>
        </a:solid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Sheet1!$B$31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1E-42AE-B4AC-438AF77D279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1E-42AE-B4AC-438AF77D279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41E-42AE-B4AC-438AF77D27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Sheet1!$A$32:$A$35</c:f>
              <c:strCache>
                <c:ptCount val="3"/>
                <c:pt idx="0">
                  <c:v>Private</c:v>
                </c:pt>
                <c:pt idx="1">
                  <c:v>Semi-Private</c:v>
                </c:pt>
                <c:pt idx="2">
                  <c:v>Shared</c:v>
                </c:pt>
              </c:strCache>
            </c:strRef>
          </c:cat>
          <c:val>
            <c:numRef>
              <c:f>Sheet1!$B$32:$B$35</c:f>
              <c:numCache>
                <c:formatCode>General</c:formatCode>
                <c:ptCount val="3"/>
                <c:pt idx="0">
                  <c:v>7.3925233644859816</c:v>
                </c:pt>
                <c:pt idx="1">
                  <c:v>7.6725663716814161</c:v>
                </c:pt>
                <c:pt idx="2">
                  <c:v>7.4058823529411768</c:v>
                </c:pt>
              </c:numCache>
            </c:numRef>
          </c:val>
          <c:extLst>
            <c:ext xmlns:c16="http://schemas.microsoft.com/office/drawing/2014/chart" uri="{C3380CC4-5D6E-409C-BE32-E72D297353CC}">
              <c16:uniqueId val="{00000006-841E-42AE-B4AC-438AF77D2797}"/>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[Hospital_Management_Large.xlsx]Sheet1!PivotTable4</c:name>
    <c:fmtId val="15"/>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Patient count by room type</a:t>
            </a:r>
          </a:p>
        </c:rich>
      </c:tx>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Sheet1!$N$3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Sheet1!$M$4:$M$7</c:f>
              <c:strCache>
                <c:ptCount val="3"/>
                <c:pt idx="0">
                  <c:v>Private</c:v>
                </c:pt>
                <c:pt idx="1">
                  <c:v>Semi-Private</c:v>
                </c:pt>
                <c:pt idx="2">
                  <c:v>Shared</c:v>
                </c:pt>
              </c:strCache>
            </c:strRef>
          </c:cat>
          <c:val>
            <c:numRef>
              <c:f>Sheet1!$N$4:$N$7</c:f>
              <c:numCache>
                <c:formatCode>General</c:formatCode>
                <c:ptCount val="3"/>
                <c:pt idx="0">
                  <c:v>321</c:v>
                </c:pt>
                <c:pt idx="1">
                  <c:v>339</c:v>
                </c:pt>
                <c:pt idx="2">
                  <c:v>340</c:v>
                </c:pt>
              </c:numCache>
            </c:numRef>
          </c:val>
          <c:extLst>
            <c:ext xmlns:c16="http://schemas.microsoft.com/office/drawing/2014/chart" uri="{C3380CC4-5D6E-409C-BE32-E72D297353CC}">
              <c16:uniqueId val="{00000000-F3DE-47F0-90F3-16354CA4F28C}"/>
            </c:ext>
          </c:extLst>
        </c:ser>
        <c:dLbls>
          <c:showLegendKey val="0"/>
          <c:showVal val="1"/>
          <c:showCatName val="0"/>
          <c:showSerName val="0"/>
          <c:showPercent val="0"/>
          <c:showBubbleSize val="0"/>
        </c:dLbls>
        <c:gapWidth val="150"/>
        <c:shape val="box"/>
        <c:axId val="198763887"/>
        <c:axId val="198773007"/>
        <c:axId val="0"/>
      </c:bar3DChart>
      <c:catAx>
        <c:axId val="198763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773007"/>
        <c:crosses val="autoZero"/>
        <c:auto val="1"/>
        <c:lblAlgn val="ctr"/>
        <c:lblOffset val="100"/>
        <c:noMultiLvlLbl val="0"/>
      </c:catAx>
      <c:valAx>
        <c:axId val="1987730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76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[Hospital_Management_Large.xlsx]Sheet1!PivotTable4</c:name>
    <c:fmtId val="21"/>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Patient count by room type</a:t>
            </a:r>
          </a:p>
        </c:rich>
      </c:tx>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Sheet1!$N$3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Sheet1!$M$4:$M$7</c:f>
              <c:strCache>
                <c:ptCount val="3"/>
                <c:pt idx="0">
                  <c:v>Private</c:v>
                </c:pt>
                <c:pt idx="1">
                  <c:v>Semi-Private</c:v>
                </c:pt>
                <c:pt idx="2">
                  <c:v>Shared</c:v>
                </c:pt>
              </c:strCache>
            </c:strRef>
          </c:cat>
          <c:val>
            <c:numRef>
              <c:f>Sheet1!$N$4:$N$7</c:f>
              <c:numCache>
                <c:formatCode>General</c:formatCode>
                <c:ptCount val="3"/>
                <c:pt idx="0">
                  <c:v>321</c:v>
                </c:pt>
                <c:pt idx="1">
                  <c:v>339</c:v>
                </c:pt>
                <c:pt idx="2">
                  <c:v>340</c:v>
                </c:pt>
              </c:numCache>
            </c:numRef>
          </c:val>
          <c:extLst>
            <c:ext xmlns:c16="http://schemas.microsoft.com/office/drawing/2014/chart" uri="{C3380CC4-5D6E-409C-BE32-E72D297353CC}">
              <c16:uniqueId val="{00000000-F3DE-47F0-90F3-16354CA4F28C}"/>
            </c:ext>
          </c:extLst>
        </c:ser>
        <c:dLbls>
          <c:showLegendKey val="0"/>
          <c:showVal val="1"/>
          <c:showCatName val="0"/>
          <c:showSerName val="0"/>
          <c:showPercent val="0"/>
          <c:showBubbleSize val="0"/>
        </c:dLbls>
        <c:gapWidth val="150"/>
        <c:shape val="box"/>
        <c:axId val="198763887"/>
        <c:axId val="198773007"/>
        <c:axId val="0"/>
      </c:bar3DChart>
      <c:catAx>
        <c:axId val="198763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773007"/>
        <c:crosses val="autoZero"/>
        <c:auto val="1"/>
        <c:lblAlgn val="ctr"/>
        <c:lblOffset val="100"/>
        <c:noMultiLvlLbl val="0"/>
      </c:catAx>
      <c:valAx>
        <c:axId val="1987730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76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[Hospital_Management_Large.xlsx]Sheet1!PivotTable5</c:name>
    <c:fmtId val="39"/>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Average length of stay by department</a:t>
            </a:r>
          </a:p>
        </c:rich>
      </c:tx>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Sheet1!$N$22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Sheet1!$M$23:$M$30</c:f>
              <c:strCache>
                <c:ptCount val="7"/>
                <c:pt idx="0">
                  <c:v>Cardiology</c:v>
                </c:pt>
                <c:pt idx="1">
                  <c:v>Dermatology</c:v>
                </c:pt>
                <c:pt idx="2">
                  <c:v>ENT</c:v>
                </c:pt>
                <c:pt idx="3">
                  <c:v>Gastroenterology</c:v>
                </c:pt>
                <c:pt idx="4">
                  <c:v>Neurology</c:v>
                </c:pt>
                <c:pt idx="5">
                  <c:v>Orthopedics</c:v>
                </c:pt>
                <c:pt idx="6">
                  <c:v>Pediatrics</c:v>
                </c:pt>
              </c:strCache>
            </c:strRef>
          </c:cat>
          <c:val>
            <c:numRef>
              <c:f>Sheet1!$N$23:$N$30</c:f>
              <c:numCache>
                <c:formatCode>General</c:formatCode>
                <c:ptCount val="7"/>
                <c:pt idx="0">
                  <c:v>7.5470588235294116</c:v>
                </c:pt>
                <c:pt idx="1">
                  <c:v>7.2152777777777777</c:v>
                </c:pt>
                <c:pt idx="2">
                  <c:v>7.511278195488722</c:v>
                </c:pt>
                <c:pt idx="3">
                  <c:v>7.3666666666666663</c:v>
                </c:pt>
                <c:pt idx="4">
                  <c:v>7.3656716417910451</c:v>
                </c:pt>
                <c:pt idx="5">
                  <c:v>7.5205479452054798</c:v>
                </c:pt>
                <c:pt idx="6">
                  <c:v>7.975609756097561</c:v>
                </c:pt>
              </c:numCache>
            </c:numRef>
          </c:val>
          <c:extLst>
            <c:ext xmlns:c16="http://schemas.microsoft.com/office/drawing/2014/chart" uri="{C3380CC4-5D6E-409C-BE32-E72D297353CC}">
              <c16:uniqueId val="{00000000-3682-4504-B98B-697611FF1372}"/>
            </c:ext>
          </c:extLst>
        </c:ser>
        <c:dLbls>
          <c:dLblPos val="outEnd"/>
          <c:showLegendKey val="0"/>
          <c:showVal val="1"/>
          <c:showCatName val="0"/>
          <c:showSerName val="0"/>
          <c:showPercent val="0"/>
          <c:showBubbleSize val="0"/>
        </c:dLbls>
        <c:gapWidth val="115"/>
        <c:overlap val="-20"/>
        <c:axId val="964033327"/>
        <c:axId val="964023727"/>
      </c:barChart>
      <c:catAx>
        <c:axId val="9640333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4023727"/>
        <c:crosses val="autoZero"/>
        <c:auto val="1"/>
        <c:lblAlgn val="ctr"/>
        <c:lblOffset val="100"/>
        <c:noMultiLvlLbl val="0"/>
      </c:catAx>
      <c:valAx>
        <c:axId val="964023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403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[Hospital_Management_Large.xlsx]Sheet1!PivotTable5</c:name>
    <c:fmtId val="4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Average length of stay by department</a:t>
            </a:r>
          </a:p>
        </c:rich>
      </c:tx>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Sheet1!$N$22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Sheet1!$M$23:$M$30</c:f>
              <c:strCache>
                <c:ptCount val="7"/>
                <c:pt idx="0">
                  <c:v>Cardiology</c:v>
                </c:pt>
                <c:pt idx="1">
                  <c:v>Dermatology</c:v>
                </c:pt>
                <c:pt idx="2">
                  <c:v>ENT</c:v>
                </c:pt>
                <c:pt idx="3">
                  <c:v>Gastroenterology</c:v>
                </c:pt>
                <c:pt idx="4">
                  <c:v>Neurology</c:v>
                </c:pt>
                <c:pt idx="5">
                  <c:v>Orthopedics</c:v>
                </c:pt>
                <c:pt idx="6">
                  <c:v>Pediatrics</c:v>
                </c:pt>
              </c:strCache>
            </c:strRef>
          </c:cat>
          <c:val>
            <c:numRef>
              <c:f>Sheet1!$N$23:$N$30</c:f>
              <c:numCache>
                <c:formatCode>General</c:formatCode>
                <c:ptCount val="7"/>
                <c:pt idx="0">
                  <c:v>7.5470588235294116</c:v>
                </c:pt>
                <c:pt idx="1">
                  <c:v>7.2152777777777777</c:v>
                </c:pt>
                <c:pt idx="2">
                  <c:v>7.511278195488722</c:v>
                </c:pt>
                <c:pt idx="3">
                  <c:v>7.3666666666666663</c:v>
                </c:pt>
                <c:pt idx="4">
                  <c:v>7.3656716417910451</c:v>
                </c:pt>
                <c:pt idx="5">
                  <c:v>7.5205479452054798</c:v>
                </c:pt>
                <c:pt idx="6">
                  <c:v>7.975609756097561</c:v>
                </c:pt>
              </c:numCache>
            </c:numRef>
          </c:val>
          <c:extLst>
            <c:ext xmlns:c16="http://schemas.microsoft.com/office/drawing/2014/chart" uri="{C3380CC4-5D6E-409C-BE32-E72D297353CC}">
              <c16:uniqueId val="{00000000-D62D-4EB9-8C41-43E7029FE447}"/>
            </c:ext>
          </c:extLst>
        </c:ser>
        <c:dLbls>
          <c:dLblPos val="outEnd"/>
          <c:showLegendKey val="0"/>
          <c:showVal val="1"/>
          <c:showCatName val="0"/>
          <c:showSerName val="0"/>
          <c:showPercent val="0"/>
          <c:showBubbleSize val="0"/>
        </c:dLbls>
        <c:gapWidth val="115"/>
        <c:overlap val="-20"/>
        <c:axId val="964033327"/>
        <c:axId val="964023727"/>
      </c:barChart>
      <c:catAx>
        <c:axId val="9640333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4023727"/>
        <c:crosses val="autoZero"/>
        <c:auto val="1"/>
        <c:lblAlgn val="ctr"/>
        <c:lblOffset val="100"/>
        <c:noMultiLvlLbl val="0"/>
      </c:catAx>
      <c:valAx>
        <c:axId val="964023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403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[Hospital_Management_Large.xlsx]Sheet2!PivotTable2</c:name>
    <c:fmtId val="0"/>
  </c:pivotSource>
  <c:chart>
    <c:title>
      <c:tx>
        <c:rich>
          <a:bodyPr rot="0" spcFirstLastPara="1" vertOverflow="ellipsis" vert="horz" wrap="square" anchor="ctr" anchorCtr="1"/>
          <a:lstStyle/>
          <a:p>
            <a:pPr>
              <a:defRPr sz="16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sz="1600" b="0" i="0" u="none" strike="noStrike" cap="none" baseline="0">
                <a:effectLst>
                  <a:outerShdw blurRad="38100" dist="25400" dir="5400000" algn="ctr" rotWithShape="0">
                    <a:srgbClr val="6E747A">
                      <a:alpha val="43000"/>
                    </a:srgbClr>
                  </a:outerShdw>
                </a:effectLst>
              </a:rPr>
              <a:t>Treatment Costs by Physician</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Sheet2!$F$22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Sheet2!$E$23:$E$30</c:f>
              <c:strCache>
                <c:ptCount val="7"/>
                <c:pt idx="0">
                  <c:v>Dr. Adams</c:v>
                </c:pt>
                <c:pt idx="1">
                  <c:v>Dr. Baker</c:v>
                </c:pt>
                <c:pt idx="2">
                  <c:v>Dr. Chen</c:v>
                </c:pt>
                <c:pt idx="3">
                  <c:v>Dr. Khan</c:v>
                </c:pt>
                <c:pt idx="4">
                  <c:v>Dr. Mehta</c:v>
                </c:pt>
                <c:pt idx="5">
                  <c:v>Dr. Patel</c:v>
                </c:pt>
                <c:pt idx="6">
                  <c:v>Dr. White</c:v>
                </c:pt>
              </c:strCache>
            </c:strRef>
          </c:cat>
          <c:val>
            <c:numRef>
              <c:f>Sheet2!$F$23:$F$30</c:f>
              <c:numCache>
                <c:formatCode>General</c:formatCode>
                <c:ptCount val="7"/>
                <c:pt idx="0">
                  <c:v>821610</c:v>
                </c:pt>
                <c:pt idx="1">
                  <c:v>796892</c:v>
                </c:pt>
                <c:pt idx="2">
                  <c:v>835936</c:v>
                </c:pt>
                <c:pt idx="3">
                  <c:v>774395</c:v>
                </c:pt>
                <c:pt idx="4">
                  <c:v>966996</c:v>
                </c:pt>
                <c:pt idx="5">
                  <c:v>671044</c:v>
                </c:pt>
                <c:pt idx="6">
                  <c:v>719272</c:v>
                </c:pt>
              </c:numCache>
            </c:numRef>
          </c:val>
          <c:extLst>
            <c:ext xmlns:c16="http://schemas.microsoft.com/office/drawing/2014/chart" uri="{C3380CC4-5D6E-409C-BE32-E72D297353CC}">
              <c16:uniqueId val="{00000000-6F87-471D-8707-248FA279170E}"/>
            </c:ext>
          </c:extLst>
        </c:ser>
        <c:dLbls>
          <c:dLblPos val="outEnd"/>
          <c:showLegendKey val="0"/>
          <c:showVal val="1"/>
          <c:showCatName val="0"/>
          <c:showSerName val="0"/>
          <c:showPercent val="0"/>
          <c:showBubbleSize val="0"/>
        </c:dLbls>
        <c:gapWidth val="100"/>
        <c:overlap val="-24"/>
        <c:axId val="1074851520"/>
        <c:axId val="1074852000"/>
      </c:barChart>
      <c:catAx>
        <c:axId val="1074851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074852000"/>
        <c:crosses val="autoZero"/>
        <c:auto val="1"/>
        <c:lblAlgn val="ctr"/>
        <c:lblOffset val="100"/>
        <c:noMultiLvlLbl val="0"/>
      </c:catAx>
      <c:valAx>
        <c:axId val="107485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07485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b="0" cap="none" spc="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Sheet3!$B$17</c:f>
              <c:strCache>
                <c:ptCount val="1"/>
                <c:pt idx="0">
                  <c:v>Total</c:v>
                </c:pt>
              </c:strCache>
            </c:strRef>
          </c:tx>
          <c:spPr>
            <a:solidFill>
              <a:schemeClr val="accent1"/>
            </a:solidFill>
            <a:ln>
              <a:noFill/>
            </a:ln>
            <a:effectLst/>
          </c:spPr>
          <c:invertIfNegative val="0"/>
          <c:cat>
            <c:strRef>
              <c:f>Sheet3!$A$18:$A$25</c:f>
              <c:strCache>
                <c:ptCount val="7"/>
                <c:pt idx="0">
                  <c:v>Dr. Adams</c:v>
                </c:pt>
                <c:pt idx="1">
                  <c:v>Dr. Baker</c:v>
                </c:pt>
                <c:pt idx="2">
                  <c:v>Dr. Chen</c:v>
                </c:pt>
                <c:pt idx="3">
                  <c:v>Dr. Khan</c:v>
                </c:pt>
                <c:pt idx="4">
                  <c:v>Dr. Mehta</c:v>
                </c:pt>
                <c:pt idx="5">
                  <c:v>Dr. Patel</c:v>
                </c:pt>
                <c:pt idx="6">
                  <c:v>Dr. White</c:v>
                </c:pt>
              </c:strCache>
            </c:strRef>
          </c:cat>
          <c:val>
            <c:numRef>
              <c:f>Sheet3!$B$18:$B$25</c:f>
              <c:numCache>
                <c:formatCode>General</c:formatCode>
                <c:ptCount val="7"/>
                <c:pt idx="0">
                  <c:v>821610</c:v>
                </c:pt>
                <c:pt idx="1">
                  <c:v>796892</c:v>
                </c:pt>
                <c:pt idx="2">
                  <c:v>835936</c:v>
                </c:pt>
                <c:pt idx="3">
                  <c:v>774395</c:v>
                </c:pt>
                <c:pt idx="4">
                  <c:v>966996</c:v>
                </c:pt>
                <c:pt idx="5">
                  <c:v>671044</c:v>
                </c:pt>
                <c:pt idx="6">
                  <c:v>719272</c:v>
                </c:pt>
              </c:numCache>
            </c:numRef>
          </c:val>
          <c:extLst>
            <c:ext xmlns:c16="http://schemas.microsoft.com/office/drawing/2014/chart" uri="{C3380CC4-5D6E-409C-BE32-E72D297353CC}">
              <c16:uniqueId val="{00000000-6FF3-45EE-A91E-2BF237D41566}"/>
            </c:ext>
          </c:extLst>
        </c:ser>
        <c:dLbls>
          <c:showLegendKey val="0"/>
          <c:showVal val="0"/>
          <c:showCatName val="0"/>
          <c:showSerName val="0"/>
          <c:showPercent val="0"/>
          <c:showBubbleSize val="0"/>
        </c:dLbls>
        <c:gapWidth val="219"/>
        <c:overlap val="-27"/>
        <c:axId val="1091185311"/>
        <c:axId val="1091179071"/>
      </c:barChart>
      <c:catAx>
        <c:axId val="1091185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79071"/>
        <c:crosses val="autoZero"/>
        <c:auto val="1"/>
        <c:lblAlgn val="ctr"/>
        <c:lblOffset val="100"/>
        <c:noMultiLvlLbl val="0"/>
      </c:catAx>
      <c:valAx>
        <c:axId val="109117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8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[Hospital_Management_Large.xlsx]Sheet3!PivotTable6</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Sheet3!$B$65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C2ED-417F-904B-CDE99ED0C1C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2ED-417F-904B-CDE99ED0C1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Sheet3!$A$66:$A$68</c:f>
              <c:strCache>
                <c:ptCount val="2"/>
                <c:pt idx="0">
                  <c:v>Paid</c:v>
                </c:pt>
                <c:pt idx="1">
                  <c:v>Unpaid</c:v>
                </c:pt>
              </c:strCache>
            </c:strRef>
          </c:cat>
          <c:val>
            <c:numRef>
              <c:f>Sheet3!$B$66:$B$68</c:f>
              <c:numCache>
                <c:formatCode>General</c:formatCode>
                <c:ptCount val="2"/>
                <c:pt idx="0">
                  <c:v>496</c:v>
                </c:pt>
                <c:pt idx="1">
                  <c:v>504</c:v>
                </c:pt>
              </c:numCache>
            </c:numRef>
          </c:val>
          <c:extLst>
            <c:ext xmlns:c16="http://schemas.microsoft.com/office/drawing/2014/chart" uri="{C3380CC4-5D6E-409C-BE32-E72D297353CC}">
              <c16:uniqueId val="{00000000-C2ED-417F-904B-CDE99ED0C1CF}"/>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[Hospital_Management_Large.xlsx]Sheet3!PivotTable6</c:name>
    <c:fmtId val="4"/>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Sheet3!$B$65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FF5-441E-BF97-DDB08C0E8CF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FF5-441E-BF97-DDB08C0E8CF9}"/>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Sheet3!$A$66:$A$68</c:f>
              <c:strCache>
                <c:ptCount val="2"/>
                <c:pt idx="0">
                  <c:v>Paid</c:v>
                </c:pt>
                <c:pt idx="1">
                  <c:v>Unpaid</c:v>
                </c:pt>
              </c:strCache>
            </c:strRef>
          </c:cat>
          <c:val>
            <c:numRef>
              <c:f>Sheet3!$B$66:$B$68</c:f>
              <c:numCache>
                <c:formatCode>General</c:formatCode>
                <c:ptCount val="2"/>
                <c:pt idx="0">
                  <c:v>496</c:v>
                </c:pt>
                <c:pt idx="1">
                  <c:v>504</c:v>
                </c:pt>
              </c:numCache>
            </c:numRef>
          </c:val>
          <c:extLst>
            <c:ext xmlns:c16="http://schemas.microsoft.com/office/drawing/2014/chart" uri="{C3380CC4-5D6E-409C-BE32-E72D297353CC}">
              <c16:uniqueId val="{00000004-0FF5-441E-BF97-DDB08C0E8CF9}"/>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Sheet3!$B$17</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Sheet3!$A$18:$A$25</c:f>
              <c:strCache>
                <c:ptCount val="7"/>
                <c:pt idx="0">
                  <c:v>Dr. Adams</c:v>
                </c:pt>
                <c:pt idx="1">
                  <c:v>Dr. Baker</c:v>
                </c:pt>
                <c:pt idx="2">
                  <c:v>Dr. Chen</c:v>
                </c:pt>
                <c:pt idx="3">
                  <c:v>Dr. Khan</c:v>
                </c:pt>
                <c:pt idx="4">
                  <c:v>Dr. Mehta</c:v>
                </c:pt>
                <c:pt idx="5">
                  <c:v>Dr. Patel</c:v>
                </c:pt>
                <c:pt idx="6">
                  <c:v>Dr. White</c:v>
                </c:pt>
              </c:strCache>
            </c:strRef>
          </c:cat>
          <c:val>
            <c:numRef>
              <c:f>Sheet3!$B$18:$B$25</c:f>
              <c:numCache>
                <c:formatCode>General</c:formatCode>
                <c:ptCount val="7"/>
                <c:pt idx="0">
                  <c:v>821610</c:v>
                </c:pt>
                <c:pt idx="1">
                  <c:v>796892</c:v>
                </c:pt>
                <c:pt idx="2">
                  <c:v>835936</c:v>
                </c:pt>
                <c:pt idx="3">
                  <c:v>774395</c:v>
                </c:pt>
                <c:pt idx="4">
                  <c:v>966996</c:v>
                </c:pt>
                <c:pt idx="5">
                  <c:v>671044</c:v>
                </c:pt>
                <c:pt idx="6">
                  <c:v>719272</c:v>
                </c:pt>
              </c:numCache>
            </c:numRef>
          </c:val>
          <c:extLst>
            <c:ext xmlns:c16="http://schemas.microsoft.com/office/drawing/2014/chart" uri="{C3380CC4-5D6E-409C-BE32-E72D297353CC}">
              <c16:uniqueId val="{00000000-75C8-4CF7-9922-37124C6DBCFD}"/>
            </c:ext>
          </c:extLst>
        </c:ser>
        <c:dLbls>
          <c:dLblPos val="outEnd"/>
          <c:showLegendKey val="0"/>
          <c:showVal val="1"/>
          <c:showCatName val="0"/>
          <c:showSerName val="0"/>
          <c:showPercent val="0"/>
          <c:showBubbleSize val="0"/>
        </c:dLbls>
        <c:gapWidth val="219"/>
        <c:overlap val="-27"/>
        <c:axId val="1091185311"/>
        <c:axId val="1091179071"/>
      </c:barChart>
      <c:catAx>
        <c:axId val="1091185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79071"/>
        <c:crosses val="autoZero"/>
        <c:auto val="1"/>
        <c:lblAlgn val="ctr"/>
        <c:lblOffset val="100"/>
        <c:noMultiLvlLbl val="0"/>
      </c:catAx>
      <c:valAx>
        <c:axId val="109117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8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Sheet3!$B$40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213-4CE9-9A3B-FF0373B10A0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213-4CE9-9A3B-FF0373B10A0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213-4CE9-9A3B-FF0373B10A0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Sheet3!$A$41:$A$44</c:f>
              <c:strCache>
                <c:ptCount val="3"/>
                <c:pt idx="0">
                  <c:v>Private</c:v>
                </c:pt>
                <c:pt idx="1">
                  <c:v>Semi-Private</c:v>
                </c:pt>
                <c:pt idx="2">
                  <c:v>Shared</c:v>
                </c:pt>
              </c:strCache>
            </c:strRef>
          </c:cat>
          <c:val>
            <c:numRef>
              <c:f>Sheet3!$B$41:$B$44</c:f>
              <c:numCache>
                <c:formatCode>General</c:formatCode>
                <c:ptCount val="3"/>
                <c:pt idx="0">
                  <c:v>321</c:v>
                </c:pt>
                <c:pt idx="1">
                  <c:v>339</c:v>
                </c:pt>
                <c:pt idx="2">
                  <c:v>340</c:v>
                </c:pt>
              </c:numCache>
            </c:numRef>
          </c:val>
          <c:extLst>
            <c:ext xmlns:c16="http://schemas.microsoft.com/office/drawing/2014/chart" uri="{C3380CC4-5D6E-409C-BE32-E72D297353CC}">
              <c16:uniqueId val="{00000000-9BAE-4BF6-BD86-6FA3C997BEEA}"/>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[Hospital_Management_Large.xlsx]Sheet3!PivotTable4</c:name>
    <c:fmtId val="3"/>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Sheet3!$B$40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15E-4340-9EAB-020F4ACBB3F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15E-4340-9EAB-020F4ACBB3F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15E-4340-9EAB-020F4ACBB3F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Sheet3!$A$41:$A$44</c:f>
              <c:strCache>
                <c:ptCount val="3"/>
                <c:pt idx="0">
                  <c:v>Private</c:v>
                </c:pt>
                <c:pt idx="1">
                  <c:v>Semi-Private</c:v>
                </c:pt>
                <c:pt idx="2">
                  <c:v>Shared</c:v>
                </c:pt>
              </c:strCache>
            </c:strRef>
          </c:cat>
          <c:val>
            <c:numRef>
              <c:f>Sheet3!$B$41:$B$44</c:f>
              <c:numCache>
                <c:formatCode>General</c:formatCode>
                <c:ptCount val="3"/>
                <c:pt idx="0">
                  <c:v>321</c:v>
                </c:pt>
                <c:pt idx="1">
                  <c:v>339</c:v>
                </c:pt>
                <c:pt idx="2">
                  <c:v>340</c:v>
                </c:pt>
              </c:numCache>
            </c:numRef>
          </c:val>
          <c:extLst>
            <c:ext xmlns:c16="http://schemas.microsoft.com/office/drawing/2014/chart" uri="{C3380CC4-5D6E-409C-BE32-E72D297353CC}">
              <c16:uniqueId val="{00000006-515E-4340-9EAB-020F4ACBB3FF}"/>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Sheet3!$B$51</c:f>
              <c:strCache>
                <c:ptCount val="1"/>
                <c:pt idx="0">
                  <c:v>Total</c:v>
                </c:pt>
              </c:strCache>
            </c:strRef>
          </c:tx>
          <c:spPr>
            <a:solidFill>
              <a:schemeClr val="accent1"/>
            </a:solidFill>
            <a:ln>
              <a:noFill/>
            </a:ln>
            <a:effectLst/>
          </c:spPr>
          <c:invertIfNegative val="0"/>
          <c:dLbls>
            <c:numFmt formatCode="0.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Sheet3!$A$52:$A$59</c:f>
              <c:strCache>
                <c:ptCount val="7"/>
                <c:pt idx="0">
                  <c:v>Cardiology</c:v>
                </c:pt>
                <c:pt idx="1">
                  <c:v>Dermatology</c:v>
                </c:pt>
                <c:pt idx="2">
                  <c:v>ENT</c:v>
                </c:pt>
                <c:pt idx="3">
                  <c:v>Gastroenterology</c:v>
                </c:pt>
                <c:pt idx="4">
                  <c:v>Neurology</c:v>
                </c:pt>
                <c:pt idx="5">
                  <c:v>Orthopedics</c:v>
                </c:pt>
                <c:pt idx="6">
                  <c:v>Pediatrics</c:v>
                </c:pt>
              </c:strCache>
            </c:strRef>
          </c:cat>
          <c:val>
            <c:numRef>
              <c:f>Sheet3!$B$52:$B$59</c:f>
              <c:numCache>
                <c:formatCode>General</c:formatCode>
                <c:ptCount val="7"/>
                <c:pt idx="0">
                  <c:v>7.5470588235294116</c:v>
                </c:pt>
                <c:pt idx="1">
                  <c:v>7.2152777777777777</c:v>
                </c:pt>
                <c:pt idx="2">
                  <c:v>7.511278195488722</c:v>
                </c:pt>
                <c:pt idx="3">
                  <c:v>7.3666666666666663</c:v>
                </c:pt>
                <c:pt idx="4">
                  <c:v>7.3656716417910451</c:v>
                </c:pt>
                <c:pt idx="5">
                  <c:v>7.5205479452054798</c:v>
                </c:pt>
                <c:pt idx="6">
                  <c:v>7.975609756097561</c:v>
                </c:pt>
              </c:numCache>
            </c:numRef>
          </c:val>
          <c:extLst>
            <c:ext xmlns:c16="http://schemas.microsoft.com/office/drawing/2014/chart" uri="{C3380CC4-5D6E-409C-BE32-E72D297353CC}">
              <c16:uniqueId val="{00000000-7206-4A6E-85B0-43D40621BE84}"/>
            </c:ext>
          </c:extLst>
        </c:ser>
        <c:dLbls>
          <c:dLblPos val="outEnd"/>
          <c:showLegendKey val="0"/>
          <c:showVal val="1"/>
          <c:showCatName val="0"/>
          <c:showSerName val="0"/>
          <c:showPercent val="0"/>
          <c:showBubbleSize val="0"/>
        </c:dLbls>
        <c:gapWidth val="182"/>
        <c:axId val="1286966575"/>
        <c:axId val="1286967535"/>
      </c:barChart>
      <c:catAx>
        <c:axId val="128696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67535"/>
        <c:crosses val="autoZero"/>
        <c:auto val="1"/>
        <c:lblAlgn val="ctr"/>
        <c:lblOffset val="100"/>
        <c:noMultiLvlLbl val="0"/>
      </c:catAx>
      <c:valAx>
        <c:axId val="1286967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6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Sheet3!$B$30</c:f>
              <c:strCache>
                <c:ptCount val="1"/>
                <c:pt idx="0">
                  <c:v>Total</c:v>
                </c:pt>
              </c:strCache>
            </c:strRef>
          </c:tx>
          <c:spPr>
            <a:solidFill>
              <a:schemeClr val="accent1"/>
            </a:solidFill>
            <a:ln>
              <a:noFill/>
            </a:ln>
            <a:effectLst/>
          </c:spPr>
          <c:invertIfNegative val="0"/>
          <c:cat>
            <c:strRef>
              <c:f>Sheet3!$A$31:$A$34</c:f>
              <c:strCache>
                <c:ptCount val="3"/>
                <c:pt idx="0">
                  <c:v>Private</c:v>
                </c:pt>
                <c:pt idx="1">
                  <c:v>Semi-Private</c:v>
                </c:pt>
                <c:pt idx="2">
                  <c:v>Shared</c:v>
                </c:pt>
              </c:strCache>
            </c:strRef>
          </c:cat>
          <c:val>
            <c:numRef>
              <c:f>Sheet3!$B$31:$B$34</c:f>
              <c:numCache>
                <c:formatCode>General</c:formatCode>
                <c:ptCount val="3"/>
                <c:pt idx="0">
                  <c:v>7.3925233644859816</c:v>
                </c:pt>
                <c:pt idx="1">
                  <c:v>7.6725663716814161</c:v>
                </c:pt>
                <c:pt idx="2">
                  <c:v>7.4058823529411768</c:v>
                </c:pt>
              </c:numCache>
            </c:numRef>
          </c:val>
          <c:extLst>
            <c:ext xmlns:c16="http://schemas.microsoft.com/office/drawing/2014/chart" uri="{C3380CC4-5D6E-409C-BE32-E72D297353CC}">
              <c16:uniqueId val="{00000000-1CE2-4C01-8BC8-EE88B064AE60}"/>
            </c:ext>
          </c:extLst>
        </c:ser>
        <c:dLbls>
          <c:showLegendKey val="0"/>
          <c:showVal val="0"/>
          <c:showCatName val="0"/>
          <c:showSerName val="0"/>
          <c:showPercent val="0"/>
          <c:showBubbleSize val="0"/>
        </c:dLbls>
        <c:gapWidth val="182"/>
        <c:axId val="1286970895"/>
        <c:axId val="1286971375"/>
      </c:barChart>
      <c:catAx>
        <c:axId val="128697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71375"/>
        <c:crosses val="autoZero"/>
        <c:auto val="1"/>
        <c:lblAlgn val="ctr"/>
        <c:lblOffset val="100"/>
        <c:noMultiLvlLbl val="0"/>
      </c:catAx>
      <c:valAx>
        <c:axId val="1286971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7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Sheet3!$B$51</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Sheet3!$A$52:$A$59</c:f>
              <c:strCache>
                <c:ptCount val="7"/>
                <c:pt idx="0">
                  <c:v>Cardiology</c:v>
                </c:pt>
                <c:pt idx="1">
                  <c:v>Dermatology</c:v>
                </c:pt>
                <c:pt idx="2">
                  <c:v>ENT</c:v>
                </c:pt>
                <c:pt idx="3">
                  <c:v>Gastroenterology</c:v>
                </c:pt>
                <c:pt idx="4">
                  <c:v>Neurology</c:v>
                </c:pt>
                <c:pt idx="5">
                  <c:v>Orthopedics</c:v>
                </c:pt>
                <c:pt idx="6">
                  <c:v>Pediatrics</c:v>
                </c:pt>
              </c:strCache>
            </c:strRef>
          </c:cat>
          <c:val>
            <c:numRef>
              <c:f>Sheet3!$B$52:$B$59</c:f>
              <c:numCache>
                <c:formatCode>General</c:formatCode>
                <c:ptCount val="7"/>
                <c:pt idx="0">
                  <c:v>7.5470588235294116</c:v>
                </c:pt>
                <c:pt idx="1">
                  <c:v>7.2152777777777777</c:v>
                </c:pt>
                <c:pt idx="2">
                  <c:v>7.511278195488722</c:v>
                </c:pt>
                <c:pt idx="3">
                  <c:v>7.3666666666666663</c:v>
                </c:pt>
                <c:pt idx="4">
                  <c:v>7.3656716417910451</c:v>
                </c:pt>
                <c:pt idx="5">
                  <c:v>7.5205479452054798</c:v>
                </c:pt>
                <c:pt idx="6">
                  <c:v>7.975609756097561</c:v>
                </c:pt>
              </c:numCache>
            </c:numRef>
          </c:val>
          <c:extLst>
            <c:ext xmlns:c16="http://schemas.microsoft.com/office/drawing/2014/chart" uri="{C3380CC4-5D6E-409C-BE32-E72D297353CC}">
              <c16:uniqueId val="{00000000-85D6-43C1-AC1E-E625D381FEF4}"/>
            </c:ext>
          </c:extLst>
        </c:ser>
        <c:dLbls>
          <c:dLblPos val="outEnd"/>
          <c:showLegendKey val="0"/>
          <c:showVal val="1"/>
          <c:showCatName val="0"/>
          <c:showSerName val="0"/>
          <c:showPercent val="0"/>
          <c:showBubbleSize val="0"/>
        </c:dLbls>
        <c:gapWidth val="182"/>
        <c:axId val="1286966575"/>
        <c:axId val="1286967535"/>
      </c:barChart>
      <c:catAx>
        <c:axId val="128696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67535"/>
        <c:crosses val="autoZero"/>
        <c:auto val="1"/>
        <c:lblAlgn val="ctr"/>
        <c:lblOffset val="100"/>
        <c:noMultiLvlLbl val="0"/>
      </c:catAx>
      <c:valAx>
        <c:axId val="1286967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6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18" Type="http://schemas.openxmlformats.org/officeDocument/2006/relationships/chart" Target="../charts/chart10.xml"/><Relationship Id="rId3" Type="http://schemas.openxmlformats.org/officeDocument/2006/relationships/chart" Target="../charts/chart3.xml"/><Relationship Id="rId7" Type="http://schemas.openxmlformats.org/officeDocument/2006/relationships/chart" Target="../charts/chart5.xml"/><Relationship Id="rId12" Type="http://schemas.openxmlformats.org/officeDocument/2006/relationships/chart" Target="../charts/chart8.xml"/><Relationship Id="rId17" Type="http://schemas.openxmlformats.org/officeDocument/2006/relationships/chart" Target="../charts/chart9.xml"/><Relationship Id="rId2" Type="http://schemas.openxmlformats.org/officeDocument/2006/relationships/chart" Target="../charts/chart2.xml"/><Relationship Id="rId16" Type="http://schemas.openxmlformats.org/officeDocument/2006/relationships/image" Target="../media/image7.sv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7.xml"/><Relationship Id="rId5" Type="http://schemas.openxmlformats.org/officeDocument/2006/relationships/hyperlink" Target="https://www.hexahealth.com/mohali/hospital/aman-multispeciality-hospital-sahibzada-ajit-singh-nagar" TargetMode="External"/><Relationship Id="rId15" Type="http://schemas.openxmlformats.org/officeDocument/2006/relationships/image" Target="../media/image6.png"/><Relationship Id="rId10" Type="http://schemas.openxmlformats.org/officeDocument/2006/relationships/image" Target="../media/image3.svg"/><Relationship Id="rId4" Type="http://schemas.openxmlformats.org/officeDocument/2006/relationships/image" Target="../media/image1.png"/><Relationship Id="rId9" Type="http://schemas.openxmlformats.org/officeDocument/2006/relationships/image" Target="../media/image2.png"/><Relationship Id="rId14" Type="http://schemas.openxmlformats.org/officeDocument/2006/relationships/image" Target="../media/image5.svg"/></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3.svg"/><Relationship Id="rId3" Type="http://schemas.openxmlformats.org/officeDocument/2006/relationships/image" Target="../media/image8.png"/><Relationship Id="rId7" Type="http://schemas.openxmlformats.org/officeDocument/2006/relationships/chart" Target="../charts/chart16.xml"/><Relationship Id="rId12" Type="http://schemas.openxmlformats.org/officeDocument/2006/relationships/image" Target="../media/image2.pn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hyperlink" Target="https://www.hexahealth.com/mohali/hospital/aman-multispeciality-hospital-sahibzada-ajit-singh-nagar" TargetMode="Externa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571500</xdr:colOff>
      <xdr:row>15</xdr:row>
      <xdr:rowOff>76200</xdr:rowOff>
    </xdr:from>
    <xdr:to>
      <xdr:col>10</xdr:col>
      <xdr:colOff>281940</xdr:colOff>
      <xdr:row>26</xdr:row>
      <xdr:rowOff>95250</xdr:rowOff>
    </xdr:to>
    <xdr:graphicFrame macro="">
      <xdr:nvGraphicFramePr>
        <xdr:cNvPr id="2" name="Chart 1">
          <a:extLst>
            <a:ext uri="{FF2B5EF4-FFF2-40B4-BE49-F238E27FC236}">
              <a16:creationId xmlns:a16="http://schemas.microsoft.com/office/drawing/2014/main" id="{FC5E114F-C6B3-10B6-3502-6D6B692CF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556260</xdr:colOff>
      <xdr:row>1</xdr:row>
      <xdr:rowOff>7620</xdr:rowOff>
    </xdr:from>
    <xdr:to>
      <xdr:col>11</xdr:col>
      <xdr:colOff>53340</xdr:colOff>
      <xdr:row>14</xdr:row>
      <xdr:rowOff>106680</xdr:rowOff>
    </xdr:to>
    <xdr:graphicFrame macro="">
      <xdr:nvGraphicFramePr>
        <xdr:cNvPr id="3" name="Chart 2">
          <a:extLst>
            <a:ext uri="{FF2B5EF4-FFF2-40B4-BE49-F238E27FC236}">
              <a16:creationId xmlns:a16="http://schemas.microsoft.com/office/drawing/2014/main" id="{B10D5AAA-89A3-2FDF-B4D8-7E3FF2F81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29</xdr:row>
      <xdr:rowOff>22860</xdr:rowOff>
    </xdr:from>
    <xdr:to>
      <xdr:col>7</xdr:col>
      <xdr:colOff>472440</xdr:colOff>
      <xdr:row>40</xdr:row>
      <xdr:rowOff>87630</xdr:rowOff>
    </xdr:to>
    <xdr:graphicFrame macro="">
      <xdr:nvGraphicFramePr>
        <xdr:cNvPr id="4" name="Chart 3">
          <a:extLst>
            <a:ext uri="{FF2B5EF4-FFF2-40B4-BE49-F238E27FC236}">
              <a16:creationId xmlns:a16="http://schemas.microsoft.com/office/drawing/2014/main" id="{C132896B-1FCB-E1B3-3EBA-0831F0CCC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228600</xdr:colOff>
      <xdr:row>44</xdr:row>
      <xdr:rowOff>137160</xdr:rowOff>
    </xdr:from>
    <xdr:to>
      <xdr:col>1</xdr:col>
      <xdr:colOff>1155401</xdr:colOff>
      <xdr:row>50</xdr:row>
      <xdr:rowOff>137160</xdr:rowOff>
    </xdr:to>
    <xdr:pic>
      <xdr:nvPicPr>
        <xdr:cNvPr id="6" name="Picture 5">
          <a:extLst>
            <a:ext uri="{FF2B5EF4-FFF2-40B4-BE49-F238E27FC236}">
              <a16:creationId xmlns:a16="http://schemas.microsoft.com/office/drawing/2014/main" id="{AB8AF72F-862A-9C4A-2FAB-A4D10B04EBC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228600" y="8183880"/>
          <a:ext cx="1816100" cy="1097280"/>
        </a:xfrm>
        <a:prstGeom prst="rect">
          <a:avLst/>
        </a:prstGeom>
      </xdr:spPr>
    </xdr:pic>
    <xdr:clientData/>
  </xdr:twoCellAnchor>
  <xdr:twoCellAnchor>
    <xdr:from>
      <xdr:col>1</xdr:col>
      <xdr:colOff>1135380</xdr:colOff>
      <xdr:row>48</xdr:row>
      <xdr:rowOff>45720</xdr:rowOff>
    </xdr:from>
    <xdr:to>
      <xdr:col>7</xdr:col>
      <xdr:colOff>304800</xdr:colOff>
      <xdr:row>59</xdr:row>
      <xdr:rowOff>125730</xdr:rowOff>
    </xdr:to>
    <xdr:graphicFrame macro="">
      <xdr:nvGraphicFramePr>
        <xdr:cNvPr id="7" name="Chart 6">
          <a:extLst>
            <a:ext uri="{FF2B5EF4-FFF2-40B4-BE49-F238E27FC236}">
              <a16:creationId xmlns:a16="http://schemas.microsoft.com/office/drawing/2014/main" id="{B319961D-1218-44F7-9E03-89CE28023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373380</xdr:colOff>
      <xdr:row>59</xdr:row>
      <xdr:rowOff>167640</xdr:rowOff>
    </xdr:from>
    <xdr:to>
      <xdr:col>13</xdr:col>
      <xdr:colOff>480060</xdr:colOff>
      <xdr:row>72</xdr:row>
      <xdr:rowOff>30480</xdr:rowOff>
    </xdr:to>
    <xdr:graphicFrame macro="">
      <xdr:nvGraphicFramePr>
        <xdr:cNvPr id="8" name="Chart 7">
          <a:extLst>
            <a:ext uri="{FF2B5EF4-FFF2-40B4-BE49-F238E27FC236}">
              <a16:creationId xmlns:a16="http://schemas.microsoft.com/office/drawing/2014/main" id="{1AB2C8B4-15A6-4BA1-821F-E24149E0D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373379</xdr:colOff>
      <xdr:row>48</xdr:row>
      <xdr:rowOff>45720</xdr:rowOff>
    </xdr:from>
    <xdr:to>
      <xdr:col>12</xdr:col>
      <xdr:colOff>860610</xdr:colOff>
      <xdr:row>59</xdr:row>
      <xdr:rowOff>110490</xdr:rowOff>
    </xdr:to>
    <xdr:graphicFrame macro="">
      <xdr:nvGraphicFramePr>
        <xdr:cNvPr id="9" name="Chart 8">
          <a:extLst>
            <a:ext uri="{FF2B5EF4-FFF2-40B4-BE49-F238E27FC236}">
              <a16:creationId xmlns:a16="http://schemas.microsoft.com/office/drawing/2014/main" id="{D3375CFC-3DFE-4BDA-A5C4-6B01F9B9D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121920</xdr:colOff>
      <xdr:row>50</xdr:row>
      <xdr:rowOff>144780</xdr:rowOff>
    </xdr:from>
    <xdr:to>
      <xdr:col>1</xdr:col>
      <xdr:colOff>1059180</xdr:colOff>
      <xdr:row>55</xdr:row>
      <xdr:rowOff>68580</xdr:rowOff>
    </xdr:to>
    <xdr:grpSp>
      <xdr:nvGrpSpPr>
        <xdr:cNvPr id="19" name="Group 18">
          <a:extLst>
            <a:ext uri="{FF2B5EF4-FFF2-40B4-BE49-F238E27FC236}">
              <a16:creationId xmlns:a16="http://schemas.microsoft.com/office/drawing/2014/main" id="{3C94687F-B803-6810-C9DE-3AE71136E961}"/>
            </a:ext>
          </a:extLst>
        </xdr:cNvPr>
        <xdr:cNvGrpSpPr/>
      </xdr:nvGrpSpPr>
      <xdr:grpSpPr>
        <a:xfrm>
          <a:off x="121920" y="9109486"/>
          <a:ext cx="1824766" cy="820270"/>
          <a:chOff x="121920" y="9288780"/>
          <a:chExt cx="1790700" cy="838200"/>
        </a:xfrm>
      </xdr:grpSpPr>
      <xdr:sp macro="" textlink="">
        <xdr:nvSpPr>
          <xdr:cNvPr id="10" name="Rectangle: Rounded Corners 9">
            <a:extLst>
              <a:ext uri="{FF2B5EF4-FFF2-40B4-BE49-F238E27FC236}">
                <a16:creationId xmlns:a16="http://schemas.microsoft.com/office/drawing/2014/main" id="{43C76F69-C4E0-286F-D9A6-EFA7B7E582DA}"/>
              </a:ext>
            </a:extLst>
          </xdr:cNvPr>
          <xdr:cNvSpPr/>
        </xdr:nvSpPr>
        <xdr:spPr>
          <a:xfrm>
            <a:off x="160020" y="9288780"/>
            <a:ext cx="1752600" cy="8382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6" name="Graphic 15" descr="Heart organ with solid fill">
            <a:extLst>
              <a:ext uri="{FF2B5EF4-FFF2-40B4-BE49-F238E27FC236}">
                <a16:creationId xmlns:a16="http://schemas.microsoft.com/office/drawing/2014/main" id="{5E32CABB-D786-C63E-E5C9-B189E2A9F59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920" y="9646920"/>
            <a:ext cx="441960" cy="441960"/>
          </a:xfrm>
          <a:prstGeom prst="rect">
            <a:avLst/>
          </a:prstGeom>
        </xdr:spPr>
      </xdr:pic>
      <xdr:sp macro="" textlink="">
        <xdr:nvSpPr>
          <xdr:cNvPr id="17" name="Rectangle: Rounded Corners 16">
            <a:extLst>
              <a:ext uri="{FF2B5EF4-FFF2-40B4-BE49-F238E27FC236}">
                <a16:creationId xmlns:a16="http://schemas.microsoft.com/office/drawing/2014/main" id="{104CDE7D-24F7-9127-1993-0661AA240604}"/>
              </a:ext>
            </a:extLst>
          </xdr:cNvPr>
          <xdr:cNvSpPr/>
        </xdr:nvSpPr>
        <xdr:spPr>
          <a:xfrm>
            <a:off x="327660" y="9380220"/>
            <a:ext cx="1485900" cy="2362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18" name="Rectangle: Rounded Corners 17">
            <a:extLst>
              <a:ext uri="{FF2B5EF4-FFF2-40B4-BE49-F238E27FC236}">
                <a16:creationId xmlns:a16="http://schemas.microsoft.com/office/drawing/2014/main" id="{8CF90E21-5DBF-E0AF-6CA3-064258680434}"/>
              </a:ext>
            </a:extLst>
          </xdr:cNvPr>
          <xdr:cNvSpPr/>
        </xdr:nvSpPr>
        <xdr:spPr>
          <a:xfrm>
            <a:off x="579120" y="9715500"/>
            <a:ext cx="1234440" cy="2819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121920</xdr:colOff>
      <xdr:row>56</xdr:row>
      <xdr:rowOff>30480</xdr:rowOff>
    </xdr:from>
    <xdr:to>
      <xdr:col>1</xdr:col>
      <xdr:colOff>1059180</xdr:colOff>
      <xdr:row>60</xdr:row>
      <xdr:rowOff>137160</xdr:rowOff>
    </xdr:to>
    <xdr:grpSp>
      <xdr:nvGrpSpPr>
        <xdr:cNvPr id="20" name="Group 19">
          <a:extLst>
            <a:ext uri="{FF2B5EF4-FFF2-40B4-BE49-F238E27FC236}">
              <a16:creationId xmlns:a16="http://schemas.microsoft.com/office/drawing/2014/main" id="{60FE481B-E9A2-4A48-8EF9-A63694CDCF26}"/>
            </a:ext>
          </a:extLst>
        </xdr:cNvPr>
        <xdr:cNvGrpSpPr/>
      </xdr:nvGrpSpPr>
      <xdr:grpSpPr>
        <a:xfrm>
          <a:off x="121920" y="10070951"/>
          <a:ext cx="1824766" cy="823856"/>
          <a:chOff x="121920" y="9288780"/>
          <a:chExt cx="1790700" cy="838200"/>
        </a:xfrm>
      </xdr:grpSpPr>
      <xdr:sp macro="" textlink="">
        <xdr:nvSpPr>
          <xdr:cNvPr id="21" name="Rectangle: Rounded Corners 20">
            <a:extLst>
              <a:ext uri="{FF2B5EF4-FFF2-40B4-BE49-F238E27FC236}">
                <a16:creationId xmlns:a16="http://schemas.microsoft.com/office/drawing/2014/main" id="{7A24790B-673A-54AF-E539-BBD2FB94A985}"/>
              </a:ext>
            </a:extLst>
          </xdr:cNvPr>
          <xdr:cNvSpPr/>
        </xdr:nvSpPr>
        <xdr:spPr>
          <a:xfrm>
            <a:off x="160020" y="9288780"/>
            <a:ext cx="1752600" cy="8382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2" name="Graphic 21" descr="Heart organ with solid fill">
            <a:extLst>
              <a:ext uri="{FF2B5EF4-FFF2-40B4-BE49-F238E27FC236}">
                <a16:creationId xmlns:a16="http://schemas.microsoft.com/office/drawing/2014/main" id="{EE2FEF66-5110-33F3-A733-2848E1D7024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920" y="9646920"/>
            <a:ext cx="441960" cy="441960"/>
          </a:xfrm>
          <a:prstGeom prst="rect">
            <a:avLst/>
          </a:prstGeom>
        </xdr:spPr>
      </xdr:pic>
      <xdr:sp macro="" textlink="">
        <xdr:nvSpPr>
          <xdr:cNvPr id="23" name="Rectangle: Rounded Corners 22">
            <a:extLst>
              <a:ext uri="{FF2B5EF4-FFF2-40B4-BE49-F238E27FC236}">
                <a16:creationId xmlns:a16="http://schemas.microsoft.com/office/drawing/2014/main" id="{E1DCC52E-3F18-707F-2AB1-7C9C64857168}"/>
              </a:ext>
            </a:extLst>
          </xdr:cNvPr>
          <xdr:cNvSpPr/>
        </xdr:nvSpPr>
        <xdr:spPr>
          <a:xfrm>
            <a:off x="327660" y="9380220"/>
            <a:ext cx="1485900" cy="1981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208A0068-AB99-0CD6-AB7F-5E1C27293045}"/>
              </a:ext>
            </a:extLst>
          </xdr:cNvPr>
          <xdr:cNvSpPr/>
        </xdr:nvSpPr>
        <xdr:spPr>
          <a:xfrm>
            <a:off x="579120" y="9715500"/>
            <a:ext cx="1234440" cy="2819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137160</xdr:colOff>
      <xdr:row>61</xdr:row>
      <xdr:rowOff>99060</xdr:rowOff>
    </xdr:from>
    <xdr:to>
      <xdr:col>1</xdr:col>
      <xdr:colOff>1074420</xdr:colOff>
      <xdr:row>66</xdr:row>
      <xdr:rowOff>22860</xdr:rowOff>
    </xdr:to>
    <xdr:grpSp>
      <xdr:nvGrpSpPr>
        <xdr:cNvPr id="25" name="Group 24">
          <a:extLst>
            <a:ext uri="{FF2B5EF4-FFF2-40B4-BE49-F238E27FC236}">
              <a16:creationId xmlns:a16="http://schemas.microsoft.com/office/drawing/2014/main" id="{0D8E5D6B-722E-4D51-A860-179D2620C92B}"/>
            </a:ext>
          </a:extLst>
        </xdr:cNvPr>
        <xdr:cNvGrpSpPr/>
      </xdr:nvGrpSpPr>
      <xdr:grpSpPr>
        <a:xfrm>
          <a:off x="137160" y="11036001"/>
          <a:ext cx="1824766" cy="820271"/>
          <a:chOff x="121920" y="9265920"/>
          <a:chExt cx="1790700" cy="838200"/>
        </a:xfrm>
      </xdr:grpSpPr>
      <xdr:sp macro="" textlink="">
        <xdr:nvSpPr>
          <xdr:cNvPr id="26" name="Rectangle: Rounded Corners 25">
            <a:extLst>
              <a:ext uri="{FF2B5EF4-FFF2-40B4-BE49-F238E27FC236}">
                <a16:creationId xmlns:a16="http://schemas.microsoft.com/office/drawing/2014/main" id="{CD6F622B-DF62-5F86-B5B1-20D2CED2541E}"/>
              </a:ext>
            </a:extLst>
          </xdr:cNvPr>
          <xdr:cNvSpPr/>
        </xdr:nvSpPr>
        <xdr:spPr>
          <a:xfrm>
            <a:off x="160020" y="9265920"/>
            <a:ext cx="1752600" cy="8382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7" name="Graphic 26" descr="Heart organ with solid fill">
            <a:extLst>
              <a:ext uri="{FF2B5EF4-FFF2-40B4-BE49-F238E27FC236}">
                <a16:creationId xmlns:a16="http://schemas.microsoft.com/office/drawing/2014/main" id="{C428D34D-F866-0E97-5243-452C1D30219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920" y="9646920"/>
            <a:ext cx="441960" cy="441960"/>
          </a:xfrm>
          <a:prstGeom prst="rect">
            <a:avLst/>
          </a:prstGeom>
        </xdr:spPr>
      </xdr:pic>
      <xdr:sp macro="" textlink="">
        <xdr:nvSpPr>
          <xdr:cNvPr id="28" name="Rectangle: Rounded Corners 27">
            <a:extLst>
              <a:ext uri="{FF2B5EF4-FFF2-40B4-BE49-F238E27FC236}">
                <a16:creationId xmlns:a16="http://schemas.microsoft.com/office/drawing/2014/main" id="{9C26F05D-1AEB-8789-75CC-2AB95D4D42FD}"/>
              </a:ext>
            </a:extLst>
          </xdr:cNvPr>
          <xdr:cNvSpPr/>
        </xdr:nvSpPr>
        <xdr:spPr>
          <a:xfrm>
            <a:off x="327660" y="9380220"/>
            <a:ext cx="1485900" cy="1981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ectangle: Rounded Corners 28">
            <a:extLst>
              <a:ext uri="{FF2B5EF4-FFF2-40B4-BE49-F238E27FC236}">
                <a16:creationId xmlns:a16="http://schemas.microsoft.com/office/drawing/2014/main" id="{EDB34EE1-93DD-C9C6-FC13-A300FE14A130}"/>
              </a:ext>
            </a:extLst>
          </xdr:cNvPr>
          <xdr:cNvSpPr/>
        </xdr:nvSpPr>
        <xdr:spPr>
          <a:xfrm>
            <a:off x="579120" y="9715500"/>
            <a:ext cx="1234440" cy="2819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114300</xdr:colOff>
      <xdr:row>66</xdr:row>
      <xdr:rowOff>175260</xdr:rowOff>
    </xdr:from>
    <xdr:to>
      <xdr:col>1</xdr:col>
      <xdr:colOff>1051560</xdr:colOff>
      <xdr:row>71</xdr:row>
      <xdr:rowOff>99060</xdr:rowOff>
    </xdr:to>
    <xdr:grpSp>
      <xdr:nvGrpSpPr>
        <xdr:cNvPr id="30" name="Group 29">
          <a:extLst>
            <a:ext uri="{FF2B5EF4-FFF2-40B4-BE49-F238E27FC236}">
              <a16:creationId xmlns:a16="http://schemas.microsoft.com/office/drawing/2014/main" id="{472C42E2-6BD3-4FBE-99BF-3EBC38CC2317}"/>
            </a:ext>
          </a:extLst>
        </xdr:cNvPr>
        <xdr:cNvGrpSpPr/>
      </xdr:nvGrpSpPr>
      <xdr:grpSpPr>
        <a:xfrm>
          <a:off x="114300" y="12008672"/>
          <a:ext cx="1824766" cy="820270"/>
          <a:chOff x="121920" y="9288780"/>
          <a:chExt cx="1790700" cy="838200"/>
        </a:xfrm>
      </xdr:grpSpPr>
      <xdr:sp macro="" textlink="">
        <xdr:nvSpPr>
          <xdr:cNvPr id="31" name="Rectangle: Rounded Corners 30">
            <a:extLst>
              <a:ext uri="{FF2B5EF4-FFF2-40B4-BE49-F238E27FC236}">
                <a16:creationId xmlns:a16="http://schemas.microsoft.com/office/drawing/2014/main" id="{38E856FF-B63C-7705-FB46-556A0AD7CC6B}"/>
              </a:ext>
            </a:extLst>
          </xdr:cNvPr>
          <xdr:cNvSpPr/>
        </xdr:nvSpPr>
        <xdr:spPr>
          <a:xfrm>
            <a:off x="160020" y="9288780"/>
            <a:ext cx="1752600" cy="8382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2" name="Graphic 31" descr="Heart organ with solid fill">
            <a:extLst>
              <a:ext uri="{FF2B5EF4-FFF2-40B4-BE49-F238E27FC236}">
                <a16:creationId xmlns:a16="http://schemas.microsoft.com/office/drawing/2014/main" id="{40BF6391-9339-C82C-B66D-72D9D8D3DB1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920" y="9646920"/>
            <a:ext cx="441960" cy="441960"/>
          </a:xfrm>
          <a:prstGeom prst="rect">
            <a:avLst/>
          </a:prstGeom>
        </xdr:spPr>
      </xdr:pic>
      <xdr:sp macro="" textlink="">
        <xdr:nvSpPr>
          <xdr:cNvPr id="33" name="Rectangle: Rounded Corners 32">
            <a:extLst>
              <a:ext uri="{FF2B5EF4-FFF2-40B4-BE49-F238E27FC236}">
                <a16:creationId xmlns:a16="http://schemas.microsoft.com/office/drawing/2014/main" id="{24EF9D10-6BC9-EE6D-ACFD-0B08E9F405E0}"/>
              </a:ext>
            </a:extLst>
          </xdr:cNvPr>
          <xdr:cNvSpPr/>
        </xdr:nvSpPr>
        <xdr:spPr>
          <a:xfrm>
            <a:off x="327660" y="9380220"/>
            <a:ext cx="1485900" cy="1981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FACEFC01-6A0B-51FC-7DEB-47DF736BA624}"/>
              </a:ext>
            </a:extLst>
          </xdr:cNvPr>
          <xdr:cNvSpPr/>
        </xdr:nvSpPr>
        <xdr:spPr>
          <a:xfrm>
            <a:off x="579120" y="9715500"/>
            <a:ext cx="1234440" cy="2819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17</xdr:col>
      <xdr:colOff>594360</xdr:colOff>
      <xdr:row>62</xdr:row>
      <xdr:rowOff>137160</xdr:rowOff>
    </xdr:from>
    <xdr:to>
      <xdr:col>19</xdr:col>
      <xdr:colOff>380999</xdr:colOff>
      <xdr:row>72</xdr:row>
      <xdr:rowOff>30480</xdr:rowOff>
    </xdr:to>
    <mc:AlternateContent xmlns:mc="http://schemas.openxmlformats.org/markup-compatibility/2006" xmlns:a14="http://schemas.microsoft.com/office/drawing/2010/main">
      <mc:Choice Requires="a14">
        <xdr:graphicFrame macro="">
          <xdr:nvGraphicFramePr>
            <xdr:cNvPr id="35" name="Department">
              <a:extLst>
                <a:ext uri="{FF2B5EF4-FFF2-40B4-BE49-F238E27FC236}">
                  <a16:creationId xmlns:a16="http://schemas.microsoft.com/office/drawing/2014/main" id="{9E66E107-A18A-1C42-FBFA-7B28E12CE3B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140031" y="11253395"/>
              <a:ext cx="1472004" cy="1686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617220</xdr:colOff>
      <xdr:row>54</xdr:row>
      <xdr:rowOff>0</xdr:rowOff>
    </xdr:from>
    <xdr:to>
      <xdr:col>19</xdr:col>
      <xdr:colOff>380999</xdr:colOff>
      <xdr:row>62</xdr:row>
      <xdr:rowOff>91439</xdr:rowOff>
    </xdr:to>
    <mc:AlternateContent xmlns:mc="http://schemas.openxmlformats.org/markup-compatibility/2006" xmlns:a14="http://schemas.microsoft.com/office/drawing/2010/main">
      <mc:Choice Requires="a14">
        <xdr:graphicFrame macro="">
          <xdr:nvGraphicFramePr>
            <xdr:cNvPr id="36" name="Diagnosis">
              <a:extLst>
                <a:ext uri="{FF2B5EF4-FFF2-40B4-BE49-F238E27FC236}">
                  <a16:creationId xmlns:a16="http://schemas.microsoft.com/office/drawing/2014/main" id="{A1F4B5AE-8CE4-F8DC-D2D8-B0D0E9658F07}"/>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14162891" y="9681882"/>
              <a:ext cx="1449144" cy="1525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624840</xdr:colOff>
      <xdr:row>46</xdr:row>
      <xdr:rowOff>99061</xdr:rowOff>
    </xdr:from>
    <xdr:to>
      <xdr:col>19</xdr:col>
      <xdr:colOff>380999</xdr:colOff>
      <xdr:row>53</xdr:row>
      <xdr:rowOff>68581</xdr:rowOff>
    </xdr:to>
    <mc:AlternateContent xmlns:mc="http://schemas.openxmlformats.org/markup-compatibility/2006" xmlns:a14="http://schemas.microsoft.com/office/drawing/2010/main">
      <mc:Choice Requires="a14">
        <xdr:graphicFrame macro="">
          <xdr:nvGraphicFramePr>
            <xdr:cNvPr id="38" name="Room Type">
              <a:extLst>
                <a:ext uri="{FF2B5EF4-FFF2-40B4-BE49-F238E27FC236}">
                  <a16:creationId xmlns:a16="http://schemas.microsoft.com/office/drawing/2014/main" id="{91A1ACA3-F5B4-DC1E-7BB8-635072321CFC}"/>
                </a:ext>
              </a:extLst>
            </xdr:cNvPr>
            <xdr:cNvGraphicFramePr/>
          </xdr:nvGraphicFramePr>
          <xdr:xfrm>
            <a:off x="0" y="0"/>
            <a:ext cx="0" cy="0"/>
          </xdr:xfrm>
          <a:graphic>
            <a:graphicData uri="http://schemas.microsoft.com/office/drawing/2010/slicer">
              <sle:slicer xmlns:sle="http://schemas.microsoft.com/office/drawing/2010/slicer" name="Room Type"/>
            </a:graphicData>
          </a:graphic>
        </xdr:graphicFrame>
      </mc:Choice>
      <mc:Fallback xmlns="">
        <xdr:sp macro="" textlink="">
          <xdr:nvSpPr>
            <xdr:cNvPr id="0" name=""/>
            <xdr:cNvSpPr>
              <a:spLocks noTextEdit="1"/>
            </xdr:cNvSpPr>
          </xdr:nvSpPr>
          <xdr:spPr>
            <a:xfrm>
              <a:off x="14170511" y="8346590"/>
              <a:ext cx="1441524" cy="1224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1181100</xdr:colOff>
      <xdr:row>60</xdr:row>
      <xdr:rowOff>0</xdr:rowOff>
    </xdr:from>
    <xdr:to>
      <xdr:col>7</xdr:col>
      <xdr:colOff>312420</xdr:colOff>
      <xdr:row>72</xdr:row>
      <xdr:rowOff>45720</xdr:rowOff>
    </xdr:to>
    <xdr:graphicFrame macro="">
      <xdr:nvGraphicFramePr>
        <xdr:cNvPr id="39" name="Chart 38">
          <a:extLst>
            <a:ext uri="{FF2B5EF4-FFF2-40B4-BE49-F238E27FC236}">
              <a16:creationId xmlns:a16="http://schemas.microsoft.com/office/drawing/2014/main" id="{95D522D6-BCC8-CCEB-290B-4335A9AAC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167640</xdr:colOff>
      <xdr:row>1</xdr:row>
      <xdr:rowOff>99060</xdr:rowOff>
    </xdr:from>
    <xdr:to>
      <xdr:col>20</xdr:col>
      <xdr:colOff>358140</xdr:colOff>
      <xdr:row>13</xdr:row>
      <xdr:rowOff>179070</xdr:rowOff>
    </xdr:to>
    <xdr:graphicFrame macro="">
      <xdr:nvGraphicFramePr>
        <xdr:cNvPr id="40" name="Chart 39">
          <a:extLst>
            <a:ext uri="{FF2B5EF4-FFF2-40B4-BE49-F238E27FC236}">
              <a16:creationId xmlns:a16="http://schemas.microsoft.com/office/drawing/2014/main" id="{2804CF76-757C-B3D5-661F-0A2EDDFA5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137160</xdr:colOff>
      <xdr:row>45</xdr:row>
      <xdr:rowOff>160020</xdr:rowOff>
    </xdr:from>
    <xdr:to>
      <xdr:col>3</xdr:col>
      <xdr:colOff>205740</xdr:colOff>
      <xdr:row>48</xdr:row>
      <xdr:rowOff>38100</xdr:rowOff>
    </xdr:to>
    <xdr:pic>
      <xdr:nvPicPr>
        <xdr:cNvPr id="42" name="Graphic 41" descr="Lungs with solid fill">
          <a:extLst>
            <a:ext uri="{FF2B5EF4-FFF2-40B4-BE49-F238E27FC236}">
              <a16:creationId xmlns:a16="http://schemas.microsoft.com/office/drawing/2014/main" id="{969A161A-CD0A-4139-841A-9E305FE8DE1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54580" y="8389620"/>
          <a:ext cx="548640" cy="426720"/>
        </a:xfrm>
        <a:prstGeom prst="rect">
          <a:avLst/>
        </a:prstGeom>
      </xdr:spPr>
    </xdr:pic>
    <xdr:clientData/>
  </xdr:twoCellAnchor>
  <xdr:twoCellAnchor editAs="oneCell">
    <xdr:from>
      <xdr:col>10</xdr:col>
      <xdr:colOff>571500</xdr:colOff>
      <xdr:row>45</xdr:row>
      <xdr:rowOff>152400</xdr:rowOff>
    </xdr:from>
    <xdr:to>
      <xdr:col>11</xdr:col>
      <xdr:colOff>426720</xdr:colOff>
      <xdr:row>48</xdr:row>
      <xdr:rowOff>68580</xdr:rowOff>
    </xdr:to>
    <xdr:pic>
      <xdr:nvPicPr>
        <xdr:cNvPr id="44" name="Graphic 43" descr="Brain with solid fill">
          <a:extLst>
            <a:ext uri="{FF2B5EF4-FFF2-40B4-BE49-F238E27FC236}">
              <a16:creationId xmlns:a16="http://schemas.microsoft.com/office/drawing/2014/main" id="{4C8468CD-037D-38CA-BFFF-70E7FB3F6DD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650480" y="8382000"/>
          <a:ext cx="464820" cy="464820"/>
        </a:xfrm>
        <a:prstGeom prst="rect">
          <a:avLst/>
        </a:prstGeom>
      </xdr:spPr>
    </xdr:pic>
    <xdr:clientData/>
  </xdr:twoCellAnchor>
  <xdr:twoCellAnchor>
    <xdr:from>
      <xdr:col>9</xdr:col>
      <xdr:colOff>213360</xdr:colOff>
      <xdr:row>30</xdr:row>
      <xdr:rowOff>114300</xdr:rowOff>
    </xdr:from>
    <xdr:to>
      <xdr:col>17</xdr:col>
      <xdr:colOff>106680</xdr:colOff>
      <xdr:row>44</xdr:row>
      <xdr:rowOff>38100</xdr:rowOff>
    </xdr:to>
    <xdr:graphicFrame macro="">
      <xdr:nvGraphicFramePr>
        <xdr:cNvPr id="12" name="Chart 11">
          <a:extLst>
            <a:ext uri="{FF2B5EF4-FFF2-40B4-BE49-F238E27FC236}">
              <a16:creationId xmlns:a16="http://schemas.microsoft.com/office/drawing/2014/main" id="{ACA15A0E-8759-B964-C9AA-C668A89DB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640080</xdr:colOff>
      <xdr:row>57</xdr:row>
      <xdr:rowOff>114300</xdr:rowOff>
    </xdr:from>
    <xdr:to>
      <xdr:col>17</xdr:col>
      <xdr:colOff>441960</xdr:colOff>
      <xdr:row>72</xdr:row>
      <xdr:rowOff>45720</xdr:rowOff>
    </xdr:to>
    <xdr:graphicFrame macro="">
      <xdr:nvGraphicFramePr>
        <xdr:cNvPr id="13" name="Chart 12">
          <a:extLst>
            <a:ext uri="{FF2B5EF4-FFF2-40B4-BE49-F238E27FC236}">
              <a16:creationId xmlns:a16="http://schemas.microsoft.com/office/drawing/2014/main" id="{4E8AA94D-4089-452B-9FDC-322B2CC6D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259080</xdr:colOff>
      <xdr:row>1</xdr:row>
      <xdr:rowOff>0</xdr:rowOff>
    </xdr:from>
    <xdr:to>
      <xdr:col>11</xdr:col>
      <xdr:colOff>419100</xdr:colOff>
      <xdr:row>16</xdr:row>
      <xdr:rowOff>0</xdr:rowOff>
    </xdr:to>
    <xdr:graphicFrame macro="">
      <xdr:nvGraphicFramePr>
        <xdr:cNvPr id="2" name="Chart 1">
          <a:extLst>
            <a:ext uri="{FF2B5EF4-FFF2-40B4-BE49-F238E27FC236}">
              <a16:creationId xmlns:a16="http://schemas.microsoft.com/office/drawing/2014/main" id="{60F62C04-F8C3-E690-B218-2F100225A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13</xdr:row>
      <xdr:rowOff>53340</xdr:rowOff>
    </xdr:from>
    <xdr:to>
      <xdr:col>8</xdr:col>
      <xdr:colOff>586740</xdr:colOff>
      <xdr:row>25</xdr:row>
      <xdr:rowOff>57150</xdr:rowOff>
    </xdr:to>
    <xdr:graphicFrame macro="">
      <xdr:nvGraphicFramePr>
        <xdr:cNvPr id="2" name="Chart 1">
          <a:extLst>
            <a:ext uri="{FF2B5EF4-FFF2-40B4-BE49-F238E27FC236}">
              <a16:creationId xmlns:a16="http://schemas.microsoft.com/office/drawing/2014/main" id="{8CF86016-A3CA-588F-AC15-52CC75469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251460</xdr:colOff>
      <xdr:row>61</xdr:row>
      <xdr:rowOff>38100</xdr:rowOff>
    </xdr:from>
    <xdr:to>
      <xdr:col>8</xdr:col>
      <xdr:colOff>342900</xdr:colOff>
      <xdr:row>70</xdr:row>
      <xdr:rowOff>49530</xdr:rowOff>
    </xdr:to>
    <xdr:graphicFrame macro="">
      <xdr:nvGraphicFramePr>
        <xdr:cNvPr id="3" name="Chart 2">
          <a:extLst>
            <a:ext uri="{FF2B5EF4-FFF2-40B4-BE49-F238E27FC236}">
              <a16:creationId xmlns:a16="http://schemas.microsoft.com/office/drawing/2014/main" id="{E57F983B-B2E3-031A-FEF7-24DF4CB27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xdr:colOff>
      <xdr:row>73</xdr:row>
      <xdr:rowOff>114301</xdr:rowOff>
    </xdr:from>
    <xdr:to>
      <xdr:col>1</xdr:col>
      <xdr:colOff>769621</xdr:colOff>
      <xdr:row>78</xdr:row>
      <xdr:rowOff>162269</xdr:rowOff>
    </xdr:to>
    <xdr:pic>
      <xdr:nvPicPr>
        <xdr:cNvPr id="4" name="Picture 3">
          <a:extLst>
            <a:ext uri="{FF2B5EF4-FFF2-40B4-BE49-F238E27FC236}">
              <a16:creationId xmlns:a16="http://schemas.microsoft.com/office/drawing/2014/main" id="{7D80EF6A-754E-4500-A484-9EEC74222DC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1" y="13464541"/>
          <a:ext cx="1623060" cy="962368"/>
        </a:xfrm>
        <a:prstGeom prst="rect">
          <a:avLst/>
        </a:prstGeom>
      </xdr:spPr>
    </xdr:pic>
    <xdr:clientData/>
  </xdr:twoCellAnchor>
  <xdr:twoCellAnchor>
    <xdr:from>
      <xdr:col>1</xdr:col>
      <xdr:colOff>1310640</xdr:colOff>
      <xdr:row>76</xdr:row>
      <xdr:rowOff>83820</xdr:rowOff>
    </xdr:from>
    <xdr:to>
      <xdr:col>7</xdr:col>
      <xdr:colOff>327660</xdr:colOff>
      <xdr:row>87</xdr:row>
      <xdr:rowOff>38100</xdr:rowOff>
    </xdr:to>
    <xdr:graphicFrame macro="">
      <xdr:nvGraphicFramePr>
        <xdr:cNvPr id="5" name="Chart 4">
          <a:extLst>
            <a:ext uri="{FF2B5EF4-FFF2-40B4-BE49-F238E27FC236}">
              <a16:creationId xmlns:a16="http://schemas.microsoft.com/office/drawing/2014/main" id="{C17B82D7-A15C-4951-84D4-1EFE39519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518160</xdr:colOff>
      <xdr:row>76</xdr:row>
      <xdr:rowOff>91440</xdr:rowOff>
    </xdr:from>
    <xdr:to>
      <xdr:col>13</xdr:col>
      <xdr:colOff>137160</xdr:colOff>
      <xdr:row>89</xdr:row>
      <xdr:rowOff>45720</xdr:rowOff>
    </xdr:to>
    <xdr:graphicFrame macro="">
      <xdr:nvGraphicFramePr>
        <xdr:cNvPr id="6" name="Chart 5">
          <a:extLst>
            <a:ext uri="{FF2B5EF4-FFF2-40B4-BE49-F238E27FC236}">
              <a16:creationId xmlns:a16="http://schemas.microsoft.com/office/drawing/2014/main" id="{51F82280-60FF-4328-A3AD-BA8AA2CE7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594360</xdr:colOff>
      <xdr:row>36</xdr:row>
      <xdr:rowOff>91440</xdr:rowOff>
    </xdr:from>
    <xdr:to>
      <xdr:col>9</xdr:col>
      <xdr:colOff>213360</xdr:colOff>
      <xdr:row>48</xdr:row>
      <xdr:rowOff>106680</xdr:rowOff>
    </xdr:to>
    <xdr:graphicFrame macro="">
      <xdr:nvGraphicFramePr>
        <xdr:cNvPr id="7" name="Chart 6">
          <a:extLst>
            <a:ext uri="{FF2B5EF4-FFF2-40B4-BE49-F238E27FC236}">
              <a16:creationId xmlns:a16="http://schemas.microsoft.com/office/drawing/2014/main" id="{2FD9BD6A-53AB-6667-D6A8-C40202822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541020</xdr:colOff>
      <xdr:row>90</xdr:row>
      <xdr:rowOff>60960</xdr:rowOff>
    </xdr:from>
    <xdr:to>
      <xdr:col>13</xdr:col>
      <xdr:colOff>213360</xdr:colOff>
      <xdr:row>100</xdr:row>
      <xdr:rowOff>99060</xdr:rowOff>
    </xdr:to>
    <xdr:graphicFrame macro="">
      <xdr:nvGraphicFramePr>
        <xdr:cNvPr id="8" name="Chart 7">
          <a:extLst>
            <a:ext uri="{FF2B5EF4-FFF2-40B4-BE49-F238E27FC236}">
              <a16:creationId xmlns:a16="http://schemas.microsoft.com/office/drawing/2014/main" id="{7AEA5A39-4EA0-45C3-A743-5F39FAEEF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76200</xdr:colOff>
      <xdr:row>49</xdr:row>
      <xdr:rowOff>30480</xdr:rowOff>
    </xdr:from>
    <xdr:to>
      <xdr:col>9</xdr:col>
      <xdr:colOff>129540</xdr:colOff>
      <xdr:row>62</xdr:row>
      <xdr:rowOff>22860</xdr:rowOff>
    </xdr:to>
    <xdr:graphicFrame macro="">
      <xdr:nvGraphicFramePr>
        <xdr:cNvPr id="9" name="Chart 8">
          <a:extLst>
            <a:ext uri="{FF2B5EF4-FFF2-40B4-BE49-F238E27FC236}">
              <a16:creationId xmlns:a16="http://schemas.microsoft.com/office/drawing/2014/main" id="{C55BC365-957F-6D8F-8A61-6AF38789A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68580</xdr:colOff>
      <xdr:row>26</xdr:row>
      <xdr:rowOff>41910</xdr:rowOff>
    </xdr:from>
    <xdr:to>
      <xdr:col>11</xdr:col>
      <xdr:colOff>373380</xdr:colOff>
      <xdr:row>41</xdr:row>
      <xdr:rowOff>41910</xdr:rowOff>
    </xdr:to>
    <xdr:graphicFrame macro="">
      <xdr:nvGraphicFramePr>
        <xdr:cNvPr id="10" name="Chart 9">
          <a:extLst>
            <a:ext uri="{FF2B5EF4-FFF2-40B4-BE49-F238E27FC236}">
              <a16:creationId xmlns:a16="http://schemas.microsoft.com/office/drawing/2014/main" id="{58A211F4-E023-033F-2EA8-903FFF884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1303020</xdr:colOff>
      <xdr:row>87</xdr:row>
      <xdr:rowOff>137160</xdr:rowOff>
    </xdr:from>
    <xdr:to>
      <xdr:col>7</xdr:col>
      <xdr:colOff>320040</xdr:colOff>
      <xdr:row>100</xdr:row>
      <xdr:rowOff>99060</xdr:rowOff>
    </xdr:to>
    <xdr:graphicFrame macro="">
      <xdr:nvGraphicFramePr>
        <xdr:cNvPr id="11" name="Chart 10">
          <a:extLst>
            <a:ext uri="{FF2B5EF4-FFF2-40B4-BE49-F238E27FC236}">
              <a16:creationId xmlns:a16="http://schemas.microsoft.com/office/drawing/2014/main" id="{32BDF25C-4E18-4BDE-8D93-94E6F99EE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13</xdr:col>
      <xdr:colOff>365760</xdr:colOff>
      <xdr:row>74</xdr:row>
      <xdr:rowOff>30481</xdr:rowOff>
    </xdr:from>
    <xdr:to>
      <xdr:col>15</xdr:col>
      <xdr:colOff>563880</xdr:colOff>
      <xdr:row>80</xdr:row>
      <xdr:rowOff>30481</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13408484-0B53-E211-B094-8C9D49FD154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82200" y="13563601"/>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403860</xdr:colOff>
      <xdr:row>80</xdr:row>
      <xdr:rowOff>83821</xdr:rowOff>
    </xdr:from>
    <xdr:to>
      <xdr:col>15</xdr:col>
      <xdr:colOff>601980</xdr:colOff>
      <xdr:row>93</xdr:row>
      <xdr:rowOff>22861</xdr:rowOff>
    </xdr:to>
    <mc:AlternateContent xmlns:mc="http://schemas.openxmlformats.org/markup-compatibility/2006" xmlns:a14="http://schemas.microsoft.com/office/drawing/2010/main">
      <mc:Choice Requires="a14">
        <xdr:graphicFrame macro="">
          <xdr:nvGraphicFramePr>
            <xdr:cNvPr id="24" name="Department 1">
              <a:extLst>
                <a:ext uri="{FF2B5EF4-FFF2-40B4-BE49-F238E27FC236}">
                  <a16:creationId xmlns:a16="http://schemas.microsoft.com/office/drawing/2014/main" id="{1EEF39CB-D7CC-9AC9-0DCB-6A1E94CCFA6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020300" y="14714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79</xdr:row>
      <xdr:rowOff>15240</xdr:rowOff>
    </xdr:from>
    <xdr:to>
      <xdr:col>1</xdr:col>
      <xdr:colOff>1108486</xdr:colOff>
      <xdr:row>83</xdr:row>
      <xdr:rowOff>103990</xdr:rowOff>
    </xdr:to>
    <xdr:grpSp>
      <xdr:nvGrpSpPr>
        <xdr:cNvPr id="26" name="Group 25">
          <a:extLst>
            <a:ext uri="{FF2B5EF4-FFF2-40B4-BE49-F238E27FC236}">
              <a16:creationId xmlns:a16="http://schemas.microsoft.com/office/drawing/2014/main" id="{58ABA304-B112-7937-05E9-2C83B2CE8639}"/>
            </a:ext>
          </a:extLst>
        </xdr:cNvPr>
        <xdr:cNvGrpSpPr/>
      </xdr:nvGrpSpPr>
      <xdr:grpSpPr>
        <a:xfrm>
          <a:off x="137160" y="14462760"/>
          <a:ext cx="1824766" cy="820270"/>
          <a:chOff x="15240" y="14714220"/>
          <a:chExt cx="1824766" cy="820270"/>
        </a:xfrm>
      </xdr:grpSpPr>
      <xdr:sp macro="" textlink="">
        <xdr:nvSpPr>
          <xdr:cNvPr id="18" name="Rectangle: Rounded Corners 17">
            <a:extLst>
              <a:ext uri="{FF2B5EF4-FFF2-40B4-BE49-F238E27FC236}">
                <a16:creationId xmlns:a16="http://schemas.microsoft.com/office/drawing/2014/main" id="{3CB71820-46A0-A97B-7EF9-691D41146BE6}"/>
              </a:ext>
            </a:extLst>
          </xdr:cNvPr>
          <xdr:cNvSpPr/>
        </xdr:nvSpPr>
        <xdr:spPr>
          <a:xfrm>
            <a:off x="54065" y="14714220"/>
            <a:ext cx="1785941" cy="82027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9" name="Graphic 18" descr="Heart organ with solid fill">
            <a:extLst>
              <a:ext uri="{FF2B5EF4-FFF2-40B4-BE49-F238E27FC236}">
                <a16:creationId xmlns:a16="http://schemas.microsoft.com/office/drawing/2014/main" id="{8BBF5DB9-4875-2CF5-820E-51457AFD49C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240" y="15064699"/>
            <a:ext cx="450368" cy="432506"/>
          </a:xfrm>
          <a:prstGeom prst="rect">
            <a:avLst/>
          </a:prstGeom>
        </xdr:spPr>
      </xdr:pic>
      <xdr:sp macro="" textlink="">
        <xdr:nvSpPr>
          <xdr:cNvPr id="20" name="Rectangle: Rounded Corners 19">
            <a:extLst>
              <a:ext uri="{FF2B5EF4-FFF2-40B4-BE49-F238E27FC236}">
                <a16:creationId xmlns:a16="http://schemas.microsoft.com/office/drawing/2014/main" id="{E4B4BBA7-99B7-13F8-7D48-855911A003EF}"/>
              </a:ext>
            </a:extLst>
          </xdr:cNvPr>
          <xdr:cNvSpPr/>
        </xdr:nvSpPr>
        <xdr:spPr>
          <a:xfrm>
            <a:off x="224894" y="14811324"/>
            <a:ext cx="1514168" cy="231167"/>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accent2"/>
                </a:solidFill>
                <a:effectLst/>
                <a:latin typeface="+mn-lt"/>
                <a:ea typeface="+mn-ea"/>
                <a:cs typeface="+mn-cs"/>
              </a:rPr>
              <a:t>Sum of Treatment Cost</a:t>
            </a:r>
            <a:r>
              <a:rPr lang="en-IN">
                <a:effectLst/>
              </a:rPr>
              <a:t> </a:t>
            </a:r>
            <a:endParaRPr lang="en-IN" sz="1100" b="1"/>
          </a:p>
        </xdr:txBody>
      </xdr:sp>
      <xdr:sp macro="" textlink="$S$77">
        <xdr:nvSpPr>
          <xdr:cNvPr id="22" name="Rectangle: Rounded Corners 21">
            <a:extLst>
              <a:ext uri="{FF2B5EF4-FFF2-40B4-BE49-F238E27FC236}">
                <a16:creationId xmlns:a16="http://schemas.microsoft.com/office/drawing/2014/main" id="{DAE3013C-09E6-4AAC-8EEA-5BBA1BCACFF0}"/>
              </a:ext>
            </a:extLst>
          </xdr:cNvPr>
          <xdr:cNvSpPr/>
        </xdr:nvSpPr>
        <xdr:spPr>
          <a:xfrm>
            <a:off x="396881" y="15118080"/>
            <a:ext cx="1318260" cy="223547"/>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9A8842C-2980-4664-A209-CADE5432186A}" type="TxLink">
              <a:rPr lang="en-US" sz="1100" b="0" i="0" u="none" strike="noStrike">
                <a:solidFill>
                  <a:srgbClr val="000000"/>
                </a:solidFill>
                <a:effectLst/>
                <a:latin typeface="Aptos Narrow"/>
              </a:rPr>
              <a:pPr algn="l"/>
              <a:t>5586145</a:t>
            </a:fld>
            <a:endParaRPr lang="en-US" sz="1100"/>
          </a:p>
        </xdr:txBody>
      </xdr:sp>
    </xdr:grpSp>
    <xdr:clientData/>
  </xdr:twoCellAnchor>
  <xdr:twoCellAnchor editAs="oneCell">
    <xdr:from>
      <xdr:col>13</xdr:col>
      <xdr:colOff>358140</xdr:colOff>
      <xdr:row>93</xdr:row>
      <xdr:rowOff>160021</xdr:rowOff>
    </xdr:from>
    <xdr:to>
      <xdr:col>15</xdr:col>
      <xdr:colOff>556260</xdr:colOff>
      <xdr:row>101</xdr:row>
      <xdr:rowOff>1</xdr:rowOff>
    </xdr:to>
    <mc:AlternateContent xmlns:mc="http://schemas.openxmlformats.org/markup-compatibility/2006">
      <mc:Choice xmlns:a14="http://schemas.microsoft.com/office/drawing/2010/main" Requires="a14">
        <xdr:graphicFrame macro="">
          <xdr:nvGraphicFramePr>
            <xdr:cNvPr id="27" name="Room Type 1">
              <a:extLst>
                <a:ext uri="{FF2B5EF4-FFF2-40B4-BE49-F238E27FC236}">
                  <a16:creationId xmlns:a16="http://schemas.microsoft.com/office/drawing/2014/main" id="{BD8C4B0E-DF8E-F7AA-0649-29ABD52E9BCF}"/>
                </a:ext>
              </a:extLst>
            </xdr:cNvPr>
            <xdr:cNvGraphicFramePr/>
          </xdr:nvGraphicFramePr>
          <xdr:xfrm>
            <a:off x="0" y="0"/>
            <a:ext cx="0" cy="0"/>
          </xdr:xfrm>
          <a:graphic>
            <a:graphicData uri="http://schemas.microsoft.com/office/drawing/2010/slicer">
              <sle:slicer xmlns:sle="http://schemas.microsoft.com/office/drawing/2010/slicer" name="Room Type 1"/>
            </a:graphicData>
          </a:graphic>
        </xdr:graphicFrame>
      </mc:Choice>
      <mc:Fallback>
        <xdr:sp macro="" textlink="">
          <xdr:nvSpPr>
            <xdr:cNvPr id="0" name=""/>
            <xdr:cNvSpPr>
              <a:spLocks noTextEdit="1"/>
            </xdr:cNvSpPr>
          </xdr:nvSpPr>
          <xdr:spPr>
            <a:xfrm>
              <a:off x="9974580" y="17167861"/>
              <a:ext cx="182880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144780</xdr:colOff>
      <xdr:row>84</xdr:row>
      <xdr:rowOff>99060</xdr:rowOff>
    </xdr:from>
    <xdr:to>
      <xdr:col>1</xdr:col>
      <xdr:colOff>1116106</xdr:colOff>
      <xdr:row>89</xdr:row>
      <xdr:rowOff>4930</xdr:rowOff>
    </xdr:to>
    <xdr:grpSp>
      <xdr:nvGrpSpPr>
        <xdr:cNvPr id="12" name="Group 11">
          <a:extLst>
            <a:ext uri="{FF2B5EF4-FFF2-40B4-BE49-F238E27FC236}">
              <a16:creationId xmlns:a16="http://schemas.microsoft.com/office/drawing/2014/main" id="{C90BEBDB-048A-4256-9546-1414BBCE7284}"/>
            </a:ext>
          </a:extLst>
        </xdr:cNvPr>
        <xdr:cNvGrpSpPr/>
      </xdr:nvGrpSpPr>
      <xdr:grpSpPr>
        <a:xfrm>
          <a:off x="144780" y="15460980"/>
          <a:ext cx="1824766" cy="820270"/>
          <a:chOff x="15240" y="14714220"/>
          <a:chExt cx="1824766" cy="820270"/>
        </a:xfrm>
      </xdr:grpSpPr>
      <xdr:sp macro="" textlink="">
        <xdr:nvSpPr>
          <xdr:cNvPr id="13" name="Rectangle: Rounded Corners 12">
            <a:extLst>
              <a:ext uri="{FF2B5EF4-FFF2-40B4-BE49-F238E27FC236}">
                <a16:creationId xmlns:a16="http://schemas.microsoft.com/office/drawing/2014/main" id="{A71C3C17-50C0-0E21-8413-5297656B05EC}"/>
              </a:ext>
            </a:extLst>
          </xdr:cNvPr>
          <xdr:cNvSpPr/>
        </xdr:nvSpPr>
        <xdr:spPr>
          <a:xfrm>
            <a:off x="54065" y="14714220"/>
            <a:ext cx="1785941" cy="82027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4" name="Graphic 13" descr="Heart organ with solid fill">
            <a:extLst>
              <a:ext uri="{FF2B5EF4-FFF2-40B4-BE49-F238E27FC236}">
                <a16:creationId xmlns:a16="http://schemas.microsoft.com/office/drawing/2014/main" id="{C72AE378-2415-091D-EA9D-D7445F61D7F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240" y="15064699"/>
            <a:ext cx="450368" cy="432506"/>
          </a:xfrm>
          <a:prstGeom prst="rect">
            <a:avLst/>
          </a:prstGeom>
        </xdr:spPr>
      </xdr:pic>
      <xdr:sp macro="" textlink="">
        <xdr:nvSpPr>
          <xdr:cNvPr id="15" name="Rectangle: Rounded Corners 14">
            <a:extLst>
              <a:ext uri="{FF2B5EF4-FFF2-40B4-BE49-F238E27FC236}">
                <a16:creationId xmlns:a16="http://schemas.microsoft.com/office/drawing/2014/main" id="{0F1268EA-008E-916D-EB29-91912D917676}"/>
              </a:ext>
            </a:extLst>
          </xdr:cNvPr>
          <xdr:cNvSpPr/>
        </xdr:nvSpPr>
        <xdr:spPr>
          <a:xfrm>
            <a:off x="224894" y="14811324"/>
            <a:ext cx="1514168" cy="231167"/>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accent2"/>
                </a:solidFill>
                <a:effectLst/>
                <a:latin typeface="+mn-lt"/>
                <a:ea typeface="+mn-ea"/>
                <a:cs typeface="+mn-cs"/>
              </a:rPr>
              <a:t>Average of Length stay</a:t>
            </a:r>
            <a:endParaRPr lang="en-IN" sz="1100" b="1">
              <a:solidFill>
                <a:schemeClr val="accent2"/>
              </a:solidFill>
            </a:endParaRPr>
          </a:p>
        </xdr:txBody>
      </xdr:sp>
      <xdr:sp macro="" textlink="$B$59">
        <xdr:nvSpPr>
          <xdr:cNvPr id="16" name="Rectangle: Rounded Corners 15">
            <a:extLst>
              <a:ext uri="{FF2B5EF4-FFF2-40B4-BE49-F238E27FC236}">
                <a16:creationId xmlns:a16="http://schemas.microsoft.com/office/drawing/2014/main" id="{CAD0B8E1-BD5E-87C8-80CA-958603696D85}"/>
              </a:ext>
            </a:extLst>
          </xdr:cNvPr>
          <xdr:cNvSpPr/>
        </xdr:nvSpPr>
        <xdr:spPr>
          <a:xfrm>
            <a:off x="396881" y="15118080"/>
            <a:ext cx="1318260" cy="223547"/>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B75A3E1-891D-49C4-87A5-5F20B5228DB6}" type="TxLink">
              <a:rPr lang="en-US" sz="1100" b="0" i="0" u="none" strike="noStrike">
                <a:solidFill>
                  <a:srgbClr val="000000"/>
                </a:solidFill>
                <a:effectLst/>
                <a:latin typeface="Aptos Narrow"/>
              </a:rPr>
              <a:t>7.492</a:t>
            </a:fld>
            <a:endParaRPr lang="en-US" sz="1100"/>
          </a:p>
        </xdr:txBody>
      </xdr:sp>
    </xdr:grpSp>
    <xdr:clientData/>
  </xdr:twoCellAnchor>
  <xdr:twoCellAnchor>
    <xdr:from>
      <xdr:col>0</xdr:col>
      <xdr:colOff>144780</xdr:colOff>
      <xdr:row>90</xdr:row>
      <xdr:rowOff>53340</xdr:rowOff>
    </xdr:from>
    <xdr:to>
      <xdr:col>1</xdr:col>
      <xdr:colOff>1116106</xdr:colOff>
      <xdr:row>94</xdr:row>
      <xdr:rowOff>142090</xdr:rowOff>
    </xdr:to>
    <xdr:grpSp>
      <xdr:nvGrpSpPr>
        <xdr:cNvPr id="17" name="Group 16">
          <a:extLst>
            <a:ext uri="{FF2B5EF4-FFF2-40B4-BE49-F238E27FC236}">
              <a16:creationId xmlns:a16="http://schemas.microsoft.com/office/drawing/2014/main" id="{19F106C2-612C-435B-8E67-184D41941342}"/>
            </a:ext>
          </a:extLst>
        </xdr:cNvPr>
        <xdr:cNvGrpSpPr/>
      </xdr:nvGrpSpPr>
      <xdr:grpSpPr>
        <a:xfrm>
          <a:off x="144780" y="16512540"/>
          <a:ext cx="1824766" cy="820270"/>
          <a:chOff x="15240" y="14714220"/>
          <a:chExt cx="1824766" cy="820270"/>
        </a:xfrm>
      </xdr:grpSpPr>
      <xdr:sp macro="" textlink="">
        <xdr:nvSpPr>
          <xdr:cNvPr id="21" name="Rectangle: Rounded Corners 20">
            <a:extLst>
              <a:ext uri="{FF2B5EF4-FFF2-40B4-BE49-F238E27FC236}">
                <a16:creationId xmlns:a16="http://schemas.microsoft.com/office/drawing/2014/main" id="{98F455AF-D4EC-D1A8-6B76-D7D8966852CF}"/>
              </a:ext>
            </a:extLst>
          </xdr:cNvPr>
          <xdr:cNvSpPr/>
        </xdr:nvSpPr>
        <xdr:spPr>
          <a:xfrm>
            <a:off x="54065" y="14714220"/>
            <a:ext cx="1785941" cy="82027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5" name="Graphic 24" descr="Heart organ with solid fill">
            <a:extLst>
              <a:ext uri="{FF2B5EF4-FFF2-40B4-BE49-F238E27FC236}">
                <a16:creationId xmlns:a16="http://schemas.microsoft.com/office/drawing/2014/main" id="{FEB7AC02-4C4D-5417-89DB-EDB49F9D793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240" y="15064699"/>
            <a:ext cx="450368" cy="432506"/>
          </a:xfrm>
          <a:prstGeom prst="rect">
            <a:avLst/>
          </a:prstGeom>
        </xdr:spPr>
      </xdr:pic>
      <xdr:sp macro="" textlink="">
        <xdr:nvSpPr>
          <xdr:cNvPr id="28" name="Rectangle: Rounded Corners 27">
            <a:extLst>
              <a:ext uri="{FF2B5EF4-FFF2-40B4-BE49-F238E27FC236}">
                <a16:creationId xmlns:a16="http://schemas.microsoft.com/office/drawing/2014/main" id="{0A1C655C-72EA-64A7-F227-36083085CF72}"/>
              </a:ext>
            </a:extLst>
          </xdr:cNvPr>
          <xdr:cNvSpPr/>
        </xdr:nvSpPr>
        <xdr:spPr>
          <a:xfrm>
            <a:off x="194414" y="14803704"/>
            <a:ext cx="1514168" cy="231167"/>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accent2"/>
                </a:solidFill>
                <a:effectLst/>
                <a:latin typeface="+mn-lt"/>
                <a:ea typeface="+mn-ea"/>
                <a:cs typeface="+mn-cs"/>
              </a:rPr>
              <a:t>Count</a:t>
            </a:r>
            <a:r>
              <a:rPr lang="en-IN" sz="1100" b="1" i="0" u="none" strike="noStrike">
                <a:solidFill>
                  <a:schemeClr val="lt1"/>
                </a:solidFill>
                <a:effectLst/>
                <a:latin typeface="+mn-lt"/>
                <a:ea typeface="+mn-ea"/>
                <a:cs typeface="+mn-cs"/>
              </a:rPr>
              <a:t> </a:t>
            </a:r>
            <a:r>
              <a:rPr lang="en-IN" sz="1100" b="1" i="0" u="none" strike="noStrike">
                <a:solidFill>
                  <a:schemeClr val="accent2"/>
                </a:solidFill>
                <a:effectLst/>
                <a:latin typeface="+mn-lt"/>
                <a:ea typeface="+mn-ea"/>
                <a:cs typeface="+mn-cs"/>
              </a:rPr>
              <a:t>of</a:t>
            </a:r>
            <a:r>
              <a:rPr lang="en-IN" sz="1100" b="1" i="0" u="none" strike="noStrike">
                <a:solidFill>
                  <a:schemeClr val="lt1"/>
                </a:solidFill>
                <a:effectLst/>
                <a:latin typeface="+mn-lt"/>
                <a:ea typeface="+mn-ea"/>
                <a:cs typeface="+mn-cs"/>
              </a:rPr>
              <a:t> </a:t>
            </a:r>
            <a:r>
              <a:rPr lang="en-IN" sz="1100" b="1" i="0" u="none" strike="noStrike">
                <a:solidFill>
                  <a:schemeClr val="accent2"/>
                </a:solidFill>
                <a:effectLst/>
                <a:latin typeface="+mn-lt"/>
                <a:ea typeface="+mn-ea"/>
                <a:cs typeface="+mn-cs"/>
              </a:rPr>
              <a:t>Billing</a:t>
            </a:r>
            <a:r>
              <a:rPr lang="en-IN" sz="1100" b="1" i="0" u="none" strike="noStrike">
                <a:solidFill>
                  <a:schemeClr val="lt1"/>
                </a:solidFill>
                <a:effectLst/>
                <a:latin typeface="+mn-lt"/>
                <a:ea typeface="+mn-ea"/>
                <a:cs typeface="+mn-cs"/>
              </a:rPr>
              <a:t> </a:t>
            </a:r>
            <a:r>
              <a:rPr lang="en-IN" sz="1100" b="1" i="0" u="none" strike="noStrike">
                <a:solidFill>
                  <a:schemeClr val="accent2"/>
                </a:solidFill>
                <a:effectLst/>
                <a:latin typeface="+mn-lt"/>
                <a:ea typeface="+mn-ea"/>
                <a:cs typeface="+mn-cs"/>
              </a:rPr>
              <a:t>Status</a:t>
            </a:r>
            <a:r>
              <a:rPr lang="en-IN">
                <a:effectLst/>
              </a:rPr>
              <a:t> </a:t>
            </a:r>
            <a:r>
              <a:rPr lang="en-IN" sz="1100" b="1" i="0" u="none" strike="noStrike">
                <a:solidFill>
                  <a:schemeClr val="accent2"/>
                </a:solidFill>
                <a:effectLst/>
                <a:latin typeface="+mn-lt"/>
                <a:ea typeface="+mn-ea"/>
                <a:cs typeface="+mn-cs"/>
              </a:rPr>
              <a:t>Cost</a:t>
            </a:r>
            <a:r>
              <a:rPr lang="en-IN">
                <a:effectLst/>
              </a:rPr>
              <a:t> </a:t>
            </a:r>
            <a:endParaRPr lang="en-IN" sz="1100" b="1"/>
          </a:p>
        </xdr:txBody>
      </xdr:sp>
      <xdr:sp macro="" textlink="$B$68">
        <xdr:nvSpPr>
          <xdr:cNvPr id="29" name="Rectangle: Rounded Corners 28">
            <a:extLst>
              <a:ext uri="{FF2B5EF4-FFF2-40B4-BE49-F238E27FC236}">
                <a16:creationId xmlns:a16="http://schemas.microsoft.com/office/drawing/2014/main" id="{E8624A25-724C-1258-C0FC-B4583F1D9C60}"/>
              </a:ext>
            </a:extLst>
          </xdr:cNvPr>
          <xdr:cNvSpPr/>
        </xdr:nvSpPr>
        <xdr:spPr>
          <a:xfrm>
            <a:off x="396881" y="15118080"/>
            <a:ext cx="1318260" cy="223547"/>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7AE9B0-A42E-4E9F-BF9B-2437F0DAFE66}" type="TxLink">
              <a:rPr lang="en-US" sz="1100" b="0" i="0" u="none" strike="noStrike">
                <a:solidFill>
                  <a:srgbClr val="000000"/>
                </a:solidFill>
                <a:effectLst/>
                <a:latin typeface="Aptos Narrow"/>
              </a:rPr>
              <a:t>1000</a:t>
            </a:fld>
            <a:endParaRPr lang="en-US" sz="1100"/>
          </a:p>
        </xdr:txBody>
      </xdr:sp>
    </xdr:grpSp>
    <xdr:clientData/>
  </xdr:twoCellAnchor>
  <xdr:twoCellAnchor>
    <xdr:from>
      <xdr:col>0</xdr:col>
      <xdr:colOff>167640</xdr:colOff>
      <xdr:row>95</xdr:row>
      <xdr:rowOff>121920</xdr:rowOff>
    </xdr:from>
    <xdr:to>
      <xdr:col>1</xdr:col>
      <xdr:colOff>1138966</xdr:colOff>
      <xdr:row>100</xdr:row>
      <xdr:rowOff>27790</xdr:rowOff>
    </xdr:to>
    <xdr:grpSp>
      <xdr:nvGrpSpPr>
        <xdr:cNvPr id="30" name="Group 29">
          <a:extLst>
            <a:ext uri="{FF2B5EF4-FFF2-40B4-BE49-F238E27FC236}">
              <a16:creationId xmlns:a16="http://schemas.microsoft.com/office/drawing/2014/main" id="{21B2EA38-057B-4BCA-A270-9B1478F9A737}"/>
            </a:ext>
          </a:extLst>
        </xdr:cNvPr>
        <xdr:cNvGrpSpPr/>
      </xdr:nvGrpSpPr>
      <xdr:grpSpPr>
        <a:xfrm>
          <a:off x="167640" y="17495520"/>
          <a:ext cx="1824766" cy="820270"/>
          <a:chOff x="15240" y="14714220"/>
          <a:chExt cx="1824766" cy="820270"/>
        </a:xfrm>
      </xdr:grpSpPr>
      <xdr:sp macro="" textlink="">
        <xdr:nvSpPr>
          <xdr:cNvPr id="31" name="Rectangle: Rounded Corners 30">
            <a:extLst>
              <a:ext uri="{FF2B5EF4-FFF2-40B4-BE49-F238E27FC236}">
                <a16:creationId xmlns:a16="http://schemas.microsoft.com/office/drawing/2014/main" id="{98D2F35E-91AB-1867-0848-0DFC5F388F1D}"/>
              </a:ext>
            </a:extLst>
          </xdr:cNvPr>
          <xdr:cNvSpPr/>
        </xdr:nvSpPr>
        <xdr:spPr>
          <a:xfrm>
            <a:off x="54065" y="14714220"/>
            <a:ext cx="1785941" cy="82027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2" name="Graphic 31" descr="Heart organ with solid fill">
            <a:extLst>
              <a:ext uri="{FF2B5EF4-FFF2-40B4-BE49-F238E27FC236}">
                <a16:creationId xmlns:a16="http://schemas.microsoft.com/office/drawing/2014/main" id="{A6845EC4-308B-7A4A-3104-270D82C455D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240" y="15064699"/>
            <a:ext cx="450368" cy="432506"/>
          </a:xfrm>
          <a:prstGeom prst="rect">
            <a:avLst/>
          </a:prstGeom>
        </xdr:spPr>
      </xdr:pic>
      <xdr:sp macro="" textlink="">
        <xdr:nvSpPr>
          <xdr:cNvPr id="33" name="Rectangle: Rounded Corners 32">
            <a:extLst>
              <a:ext uri="{FF2B5EF4-FFF2-40B4-BE49-F238E27FC236}">
                <a16:creationId xmlns:a16="http://schemas.microsoft.com/office/drawing/2014/main" id="{7F9BC2F6-038A-E906-B00E-91D09AC9F0EA}"/>
              </a:ext>
            </a:extLst>
          </xdr:cNvPr>
          <xdr:cNvSpPr/>
        </xdr:nvSpPr>
        <xdr:spPr>
          <a:xfrm>
            <a:off x="194414" y="14803704"/>
            <a:ext cx="1514168" cy="231167"/>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accent2"/>
                </a:solidFill>
                <a:effectLst/>
                <a:latin typeface="+mn-lt"/>
                <a:ea typeface="+mn-ea"/>
                <a:cs typeface="+mn-cs"/>
              </a:rPr>
              <a:t>Count of Patient ID</a:t>
            </a:r>
            <a:r>
              <a:rPr lang="en-IN">
                <a:solidFill>
                  <a:schemeClr val="accent2"/>
                </a:solidFill>
                <a:effectLst/>
              </a:rPr>
              <a:t> </a:t>
            </a:r>
            <a:r>
              <a:rPr lang="en-IN" sz="1100" b="1" i="0" u="none" strike="noStrike">
                <a:solidFill>
                  <a:schemeClr val="accent2"/>
                </a:solidFill>
                <a:effectLst/>
                <a:latin typeface="+mn-lt"/>
                <a:ea typeface="+mn-ea"/>
                <a:cs typeface="+mn-cs"/>
              </a:rPr>
              <a:t>Cost</a:t>
            </a:r>
            <a:r>
              <a:rPr lang="en-IN">
                <a:effectLst/>
              </a:rPr>
              <a:t> </a:t>
            </a:r>
            <a:endParaRPr lang="en-IN" sz="1100" b="1"/>
          </a:p>
        </xdr:txBody>
      </xdr:sp>
      <xdr:sp macro="" textlink="$B$44">
        <xdr:nvSpPr>
          <xdr:cNvPr id="34" name="Rectangle: Rounded Corners 33">
            <a:extLst>
              <a:ext uri="{FF2B5EF4-FFF2-40B4-BE49-F238E27FC236}">
                <a16:creationId xmlns:a16="http://schemas.microsoft.com/office/drawing/2014/main" id="{8706211D-E1D0-3F3B-2119-105F1F41EDA1}"/>
              </a:ext>
            </a:extLst>
          </xdr:cNvPr>
          <xdr:cNvSpPr/>
        </xdr:nvSpPr>
        <xdr:spPr>
          <a:xfrm>
            <a:off x="396881" y="15118080"/>
            <a:ext cx="1318260" cy="223547"/>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B90D1BA-17E7-49DB-A367-BEEDEB5DD899}" type="TxLink">
              <a:rPr lang="en-US" sz="1100" b="0" i="0" u="none" strike="noStrike">
                <a:solidFill>
                  <a:srgbClr val="000000"/>
                </a:solidFill>
                <a:effectLst/>
                <a:latin typeface="Aptos Narrow"/>
              </a:rPr>
              <a:t>1000</a:t>
            </a:fld>
            <a:endParaRPr lang="en-US"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u singh" refreshedDate="45978.507697800924" createdVersion="8" refreshedVersion="8" minRefreshableVersion="3" recordCount="1000" xr:uid="{FCA5E596-DD6C-4D42-91B2-5A416942CABA}">
  <cacheSource type="worksheet">
    <worksheetSource ref="A1:O1001" sheet="Hospital_Management_Large"/>
  </cacheSource>
  <cacheFields count="15">
    <cacheField name="Patient ID" numFmtId="0">
      <sharedItems count="1000">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 v="P1401"/>
        <s v="P1402"/>
        <s v="P1403"/>
        <s v="P1404"/>
        <s v="P1405"/>
        <s v="P1406"/>
        <s v="P1407"/>
        <s v="P1408"/>
        <s v="P1409"/>
        <s v="P1410"/>
        <s v="P1411"/>
        <s v="P1412"/>
        <s v="P1413"/>
        <s v="P1414"/>
        <s v="P1415"/>
        <s v="P1416"/>
        <s v="P1417"/>
        <s v="P1418"/>
        <s v="P1419"/>
        <s v="P1420"/>
        <s v="P1421"/>
        <s v="P1422"/>
        <s v="P1423"/>
        <s v="P1424"/>
        <s v="P1425"/>
        <s v="P1426"/>
        <s v="P1427"/>
        <s v="P1428"/>
        <s v="P1429"/>
        <s v="P1430"/>
        <s v="P1431"/>
        <s v="P1432"/>
        <s v="P1433"/>
        <s v="P1434"/>
        <s v="P1435"/>
        <s v="P1436"/>
        <s v="P1437"/>
        <s v="P1438"/>
        <s v="P1439"/>
        <s v="P1440"/>
        <s v="P1441"/>
        <s v="P1442"/>
        <s v="P1443"/>
        <s v="P1444"/>
        <s v="P1445"/>
        <s v="P1446"/>
        <s v="P1447"/>
        <s v="P1448"/>
        <s v="P1449"/>
        <s v="P1450"/>
        <s v="P1451"/>
        <s v="P1452"/>
        <s v="P1453"/>
        <s v="P1454"/>
        <s v="P1455"/>
        <s v="P1456"/>
        <s v="P1457"/>
        <s v="P1458"/>
        <s v="P1459"/>
        <s v="P1460"/>
        <s v="P1461"/>
        <s v="P1462"/>
        <s v="P1463"/>
        <s v="P1464"/>
        <s v="P1465"/>
        <s v="P1466"/>
        <s v="P1467"/>
        <s v="P1468"/>
        <s v="P1469"/>
        <s v="P1470"/>
        <s v="P1471"/>
        <s v="P1472"/>
        <s v="P1473"/>
        <s v="P1474"/>
        <s v="P1475"/>
        <s v="P1476"/>
        <s v="P1477"/>
        <s v="P1478"/>
        <s v="P1479"/>
        <s v="P1480"/>
        <s v="P1481"/>
        <s v="P1482"/>
        <s v="P1483"/>
        <s v="P1484"/>
        <s v="P1485"/>
        <s v="P1486"/>
        <s v="P1487"/>
        <s v="P1488"/>
        <s v="P1489"/>
        <s v="P1490"/>
        <s v="P1491"/>
        <s v="P1492"/>
        <s v="P1493"/>
        <s v="P1494"/>
        <s v="P1495"/>
        <s v="P1496"/>
        <s v="P1497"/>
        <s v="P1498"/>
        <s v="P1499"/>
        <s v="P1500"/>
        <s v="P1501"/>
        <s v="P1502"/>
        <s v="P1503"/>
        <s v="P1504"/>
        <s v="P1505"/>
        <s v="P1506"/>
        <s v="P1507"/>
        <s v="P1508"/>
        <s v="P1509"/>
        <s v="P1510"/>
        <s v="P1511"/>
        <s v="P1512"/>
        <s v="P1513"/>
        <s v="P1514"/>
        <s v="P1515"/>
        <s v="P1516"/>
        <s v="P1517"/>
        <s v="P1518"/>
        <s v="P1519"/>
        <s v="P1520"/>
        <s v="P1521"/>
        <s v="P1522"/>
        <s v="P1523"/>
        <s v="P1524"/>
        <s v="P1525"/>
        <s v="P1526"/>
        <s v="P1527"/>
        <s v="P1528"/>
        <s v="P1529"/>
        <s v="P1530"/>
        <s v="P1531"/>
        <s v="P1532"/>
        <s v="P1533"/>
        <s v="P1534"/>
        <s v="P1535"/>
        <s v="P1536"/>
        <s v="P1537"/>
        <s v="P1538"/>
        <s v="P1539"/>
        <s v="P1540"/>
        <s v="P1541"/>
        <s v="P1542"/>
        <s v="P1543"/>
        <s v="P1544"/>
        <s v="P1545"/>
        <s v="P1546"/>
        <s v="P1547"/>
        <s v="P1548"/>
        <s v="P1549"/>
        <s v="P1550"/>
        <s v="P1551"/>
        <s v="P1552"/>
        <s v="P1553"/>
        <s v="P1554"/>
        <s v="P1555"/>
        <s v="P1556"/>
        <s v="P1557"/>
        <s v="P1558"/>
        <s v="P1559"/>
        <s v="P1560"/>
        <s v="P1561"/>
        <s v="P1562"/>
        <s v="P1563"/>
        <s v="P1564"/>
        <s v="P1565"/>
        <s v="P1566"/>
        <s v="P1567"/>
        <s v="P1568"/>
        <s v="P1569"/>
        <s v="P1570"/>
        <s v="P1571"/>
        <s v="P1572"/>
        <s v="P1573"/>
        <s v="P1574"/>
        <s v="P1575"/>
        <s v="P1576"/>
        <s v="P1577"/>
        <s v="P1578"/>
        <s v="P1579"/>
        <s v="P1580"/>
        <s v="P1581"/>
        <s v="P1582"/>
        <s v="P1583"/>
        <s v="P1584"/>
        <s v="P1585"/>
        <s v="P1586"/>
        <s v="P1587"/>
        <s v="P1588"/>
        <s v="P1589"/>
        <s v="P1590"/>
        <s v="P1591"/>
        <s v="P1592"/>
        <s v="P1593"/>
        <s v="P1594"/>
        <s v="P1595"/>
        <s v="P1596"/>
        <s v="P1597"/>
        <s v="P1598"/>
        <s v="P1599"/>
        <s v="P1600"/>
        <s v="P1601"/>
        <s v="P1602"/>
        <s v="P1603"/>
        <s v="P1604"/>
        <s v="P1605"/>
        <s v="P1606"/>
        <s v="P1607"/>
        <s v="P1608"/>
        <s v="P1609"/>
        <s v="P1610"/>
        <s v="P1611"/>
        <s v="P1612"/>
        <s v="P1613"/>
        <s v="P1614"/>
        <s v="P1615"/>
        <s v="P1616"/>
        <s v="P1617"/>
        <s v="P1618"/>
        <s v="P1619"/>
        <s v="P1620"/>
        <s v="P1621"/>
        <s v="P1622"/>
        <s v="P1623"/>
        <s v="P1624"/>
        <s v="P1625"/>
        <s v="P1626"/>
        <s v="P1627"/>
        <s v="P1628"/>
        <s v="P1629"/>
        <s v="P1630"/>
        <s v="P1631"/>
        <s v="P1632"/>
        <s v="P1633"/>
        <s v="P1634"/>
        <s v="P1635"/>
        <s v="P1636"/>
        <s v="P1637"/>
        <s v="P1638"/>
        <s v="P1639"/>
        <s v="P1640"/>
        <s v="P1641"/>
        <s v="P1642"/>
        <s v="P1643"/>
        <s v="P1644"/>
        <s v="P1645"/>
        <s v="P1646"/>
        <s v="P1647"/>
        <s v="P1648"/>
        <s v="P1649"/>
        <s v="P1650"/>
        <s v="P1651"/>
        <s v="P1652"/>
        <s v="P1653"/>
        <s v="P1654"/>
        <s v="P1655"/>
        <s v="P1656"/>
        <s v="P1657"/>
        <s v="P1658"/>
        <s v="P1659"/>
        <s v="P1660"/>
        <s v="P1661"/>
        <s v="P1662"/>
        <s v="P1663"/>
        <s v="P1664"/>
        <s v="P1665"/>
        <s v="P1666"/>
        <s v="P1667"/>
        <s v="P1668"/>
        <s v="P1669"/>
        <s v="P1670"/>
        <s v="P1671"/>
        <s v="P1672"/>
        <s v="P1673"/>
        <s v="P1674"/>
        <s v="P1675"/>
        <s v="P1676"/>
        <s v="P1677"/>
        <s v="P1678"/>
        <s v="P1679"/>
        <s v="P1680"/>
        <s v="P1681"/>
        <s v="P1682"/>
        <s v="P1683"/>
        <s v="P1684"/>
        <s v="P1685"/>
        <s v="P1686"/>
        <s v="P1687"/>
        <s v="P1688"/>
        <s v="P1689"/>
        <s v="P1690"/>
        <s v="P1691"/>
        <s v="P1692"/>
        <s v="P1693"/>
        <s v="P1694"/>
        <s v="P1695"/>
        <s v="P1696"/>
        <s v="P1697"/>
        <s v="P1698"/>
        <s v="P1699"/>
        <s v="P1700"/>
        <s v="P1701"/>
        <s v="P1702"/>
        <s v="P1703"/>
        <s v="P1704"/>
        <s v="P1705"/>
        <s v="P1706"/>
        <s v="P1707"/>
        <s v="P1708"/>
        <s v="P1709"/>
        <s v="P1710"/>
        <s v="P1711"/>
        <s v="P1712"/>
        <s v="P1713"/>
        <s v="P1714"/>
        <s v="P1715"/>
        <s v="P1716"/>
        <s v="P1717"/>
        <s v="P1718"/>
        <s v="P1719"/>
        <s v="P1720"/>
        <s v="P1721"/>
        <s v="P1722"/>
        <s v="P1723"/>
        <s v="P1724"/>
        <s v="P1725"/>
        <s v="P1726"/>
        <s v="P1727"/>
        <s v="P1728"/>
        <s v="P1729"/>
        <s v="P1730"/>
        <s v="P1731"/>
        <s v="P1732"/>
        <s v="P1733"/>
        <s v="P1734"/>
        <s v="P1735"/>
        <s v="P1736"/>
        <s v="P1737"/>
        <s v="P1738"/>
        <s v="P1739"/>
        <s v="P1740"/>
        <s v="P1741"/>
        <s v="P1742"/>
        <s v="P1743"/>
        <s v="P1744"/>
        <s v="P1745"/>
        <s v="P1746"/>
        <s v="P1747"/>
        <s v="P1748"/>
        <s v="P1749"/>
        <s v="P1750"/>
        <s v="P1751"/>
        <s v="P1752"/>
        <s v="P1753"/>
        <s v="P1754"/>
        <s v="P1755"/>
        <s v="P1756"/>
        <s v="P1757"/>
        <s v="P1758"/>
        <s v="P1759"/>
        <s v="P1760"/>
        <s v="P1761"/>
        <s v="P1762"/>
        <s v="P1763"/>
        <s v="P1764"/>
        <s v="P1765"/>
        <s v="P1766"/>
        <s v="P1767"/>
        <s v="P1768"/>
        <s v="P1769"/>
        <s v="P1770"/>
        <s v="P1771"/>
        <s v="P1772"/>
        <s v="P1773"/>
        <s v="P1774"/>
        <s v="P1775"/>
        <s v="P1776"/>
        <s v="P1777"/>
        <s v="P1778"/>
        <s v="P1779"/>
        <s v="P1780"/>
        <s v="P1781"/>
        <s v="P1782"/>
        <s v="P1783"/>
        <s v="P1784"/>
        <s v="P1785"/>
        <s v="P1786"/>
        <s v="P1787"/>
        <s v="P1788"/>
        <s v="P1789"/>
        <s v="P1790"/>
        <s v="P1791"/>
        <s v="P1792"/>
        <s v="P1793"/>
        <s v="P1794"/>
        <s v="P1795"/>
        <s v="P1796"/>
        <s v="P1797"/>
        <s v="P1798"/>
        <s v="P1799"/>
        <s v="P1800"/>
        <s v="P1801"/>
        <s v="P1802"/>
        <s v="P1803"/>
        <s v="P1804"/>
        <s v="P1805"/>
        <s v="P1806"/>
        <s v="P1807"/>
        <s v="P1808"/>
        <s v="P1809"/>
        <s v="P1810"/>
        <s v="P1811"/>
        <s v="P1812"/>
        <s v="P1813"/>
        <s v="P1814"/>
        <s v="P1815"/>
        <s v="P1816"/>
        <s v="P1817"/>
        <s v="P1818"/>
        <s v="P1819"/>
        <s v="P1820"/>
        <s v="P1821"/>
        <s v="P1822"/>
        <s v="P1823"/>
        <s v="P1824"/>
        <s v="P1825"/>
        <s v="P1826"/>
        <s v="P1827"/>
        <s v="P1828"/>
        <s v="P1829"/>
        <s v="P1830"/>
        <s v="P1831"/>
        <s v="P1832"/>
        <s v="P1833"/>
        <s v="P1834"/>
        <s v="P1835"/>
        <s v="P1836"/>
        <s v="P1837"/>
        <s v="P1838"/>
        <s v="P1839"/>
        <s v="P1840"/>
        <s v="P1841"/>
        <s v="P1842"/>
        <s v="P1843"/>
        <s v="P1844"/>
        <s v="P1845"/>
        <s v="P1846"/>
        <s v="P1847"/>
        <s v="P1848"/>
        <s v="P1849"/>
        <s v="P1850"/>
        <s v="P1851"/>
        <s v="P1852"/>
        <s v="P1853"/>
        <s v="P1854"/>
        <s v="P1855"/>
        <s v="P1856"/>
        <s v="P1857"/>
        <s v="P1858"/>
        <s v="P1859"/>
        <s v="P1860"/>
        <s v="P1861"/>
        <s v="P1862"/>
        <s v="P1863"/>
        <s v="P1864"/>
        <s v="P1865"/>
        <s v="P1866"/>
        <s v="P1867"/>
        <s v="P1868"/>
        <s v="P1869"/>
        <s v="P1870"/>
        <s v="P1871"/>
        <s v="P1872"/>
        <s v="P1873"/>
        <s v="P1874"/>
        <s v="P1875"/>
        <s v="P1876"/>
        <s v="P1877"/>
        <s v="P1878"/>
        <s v="P1879"/>
        <s v="P1880"/>
        <s v="P1881"/>
        <s v="P1882"/>
        <s v="P1883"/>
        <s v="P1884"/>
        <s v="P1885"/>
        <s v="P1886"/>
        <s v="P1887"/>
        <s v="P1888"/>
        <s v="P1889"/>
        <s v="P1890"/>
        <s v="P1891"/>
        <s v="P1892"/>
        <s v="P1893"/>
        <s v="P1894"/>
        <s v="P1895"/>
        <s v="P1896"/>
        <s v="P1897"/>
        <s v="P1898"/>
        <s v="P1899"/>
        <s v="P1900"/>
        <s v="P1901"/>
        <s v="P1902"/>
        <s v="P1903"/>
        <s v="P1904"/>
        <s v="P1905"/>
        <s v="P1906"/>
        <s v="P1907"/>
        <s v="P1908"/>
        <s v="P1909"/>
        <s v="P1910"/>
        <s v="P1911"/>
        <s v="P1912"/>
        <s v="P1913"/>
        <s v="P1914"/>
        <s v="P1915"/>
        <s v="P1916"/>
        <s v="P1917"/>
        <s v="P1918"/>
        <s v="P1919"/>
        <s v="P1920"/>
        <s v="P1921"/>
        <s v="P1922"/>
        <s v="P1923"/>
        <s v="P1924"/>
        <s v="P1925"/>
        <s v="P1926"/>
        <s v="P1927"/>
        <s v="P1928"/>
        <s v="P1929"/>
        <s v="P1930"/>
        <s v="P1931"/>
        <s v="P1932"/>
        <s v="P1933"/>
        <s v="P1934"/>
        <s v="P1935"/>
        <s v="P1936"/>
        <s v="P1937"/>
        <s v="P1938"/>
        <s v="P1939"/>
        <s v="P1940"/>
        <s v="P1941"/>
        <s v="P1942"/>
        <s v="P1943"/>
        <s v="P1944"/>
        <s v="P1945"/>
        <s v="P1946"/>
        <s v="P1947"/>
        <s v="P1948"/>
        <s v="P1949"/>
        <s v="P1950"/>
        <s v="P1951"/>
        <s v="P1952"/>
        <s v="P1953"/>
        <s v="P1954"/>
        <s v="P1955"/>
        <s v="P1956"/>
        <s v="P1957"/>
        <s v="P1958"/>
        <s v="P1959"/>
        <s v="P1960"/>
        <s v="P1961"/>
        <s v="P1962"/>
        <s v="P1963"/>
        <s v="P1964"/>
        <s v="P1965"/>
        <s v="P1966"/>
        <s v="P1967"/>
        <s v="P1968"/>
        <s v="P1969"/>
        <s v="P1970"/>
        <s v="P1971"/>
        <s v="P1972"/>
        <s v="P1973"/>
        <s v="P1974"/>
        <s v="P1975"/>
        <s v="P1976"/>
        <s v="P1977"/>
        <s v="P1978"/>
        <s v="P1979"/>
        <s v="P1980"/>
        <s v="P1981"/>
        <s v="P1982"/>
        <s v="P1983"/>
        <s v="P1984"/>
        <s v="P1985"/>
        <s v="P1986"/>
        <s v="P1987"/>
        <s v="P1988"/>
        <s v="P1989"/>
        <s v="P1990"/>
        <s v="P1991"/>
        <s v="P1992"/>
        <s v="P1993"/>
        <s v="P1994"/>
        <s v="P1995"/>
        <s v="P1996"/>
        <s v="P1997"/>
        <s v="P1998"/>
        <s v="P1999"/>
      </sharedItems>
    </cacheField>
    <cacheField name="Name" numFmtId="0">
      <sharedItems count="991">
        <s v="Christian Woods"/>
        <s v="Jordan Pacheco"/>
        <s v="Erika Riley"/>
        <s v="Stephen Harris"/>
        <s v="Paul Hart"/>
        <s v="Stanley Bennett"/>
        <s v="Luke Snyder"/>
        <s v="Lawrence Cooper"/>
        <s v="John Thomas"/>
        <s v="Cory Sparks"/>
        <s v="Alex Davis"/>
        <s v="Michael Fox"/>
        <s v="Amanda Edwards"/>
        <s v="Dorothy Maddox"/>
        <s v="Chad Reid"/>
        <s v="Natalie Solomon"/>
        <s v="Jerome White"/>
        <s v="Mary Campbell"/>
        <s v="Andrea Pollard"/>
        <s v="Jeffery Perry"/>
        <s v="Nicholas Taylor"/>
        <s v="James Shaffer"/>
        <s v="John Davis"/>
        <s v="Jason Gray"/>
        <s v="Christopher Fuentes"/>
        <s v="Kyle Wood"/>
        <s v="Teresa Thomas"/>
        <s v="Alexander Santiago"/>
        <s v="Jamie Rogers"/>
        <s v="Ryan Phillips"/>
        <s v="Sean White"/>
        <s v="John Stone"/>
        <s v="Theresa Williams DDS"/>
        <s v="Donald Brown"/>
        <s v="Amanda Aguirre"/>
        <s v="Diana Schwartz"/>
        <s v="Melissa Colon"/>
        <s v="Benjamin Carter"/>
        <s v="Julie Baker"/>
        <s v="Rachel Turner"/>
        <s v="Melissa Morgan"/>
        <s v="Devon Parker"/>
        <s v="John Miller"/>
        <s v="Chad Conrad"/>
        <s v="Thomas Taylor"/>
        <s v="Peter Lee"/>
        <s v="Mr. Frank Arroyo"/>
        <s v="Gary Williams"/>
        <s v="Dustin White"/>
        <s v="Andrew Allen"/>
        <s v="Megan Murphy"/>
        <s v="Jason Shah"/>
        <s v="Erica Curtis"/>
        <s v="John Hamilton"/>
        <s v="Jimmy Dougherty"/>
        <s v="Elizabeth Hardy"/>
        <s v="John Jenkins"/>
        <s v="Jessica Farmer"/>
        <s v="Nancy Gibbs"/>
        <s v="Karen Carr"/>
        <s v="Mrs. Gina Bonilla"/>
        <s v="Melissa Baker"/>
        <s v="Frank Hoffman"/>
        <s v="Tammy Richard"/>
        <s v="Paul Stevens"/>
        <s v="Brenda Simpson"/>
        <s v="Karina Santos"/>
        <s v="Robert Bauer"/>
        <s v="Molly Powell"/>
        <s v="Laurie Mccoy"/>
        <s v="Victoria Price"/>
        <s v="Joshua Carroll"/>
        <s v="James Smith"/>
        <s v="Becky Bennett"/>
        <s v="Judy Martinez"/>
        <s v="Caleb Parker"/>
        <s v="Abigail Sullivan"/>
        <s v="Destiny Logan"/>
        <s v="Jacqueline Rosario"/>
        <s v="Christine White"/>
        <s v="Steven Frost"/>
        <s v="William Lewis"/>
        <s v="Courtney Williams"/>
        <s v="Joseph Johnson"/>
        <s v="Rachel Miles"/>
        <s v="Joseph Shepard"/>
        <s v="Megan Williams"/>
        <s v="Melissa Tran"/>
        <s v="Cindy Tran"/>
        <s v="Monique Rodriguez"/>
        <s v="Edward Jordan"/>
        <s v="Steven Wood"/>
        <s v="Jennifer Becker"/>
        <s v="Charles Fuller"/>
        <s v="Scott Freeman"/>
        <s v="Jenna Taylor"/>
        <s v="John Day"/>
        <s v="Deborah Herman"/>
        <s v="Mrs. Lisa Holt"/>
        <s v="Derek Long"/>
        <s v="Cynthia Peterson"/>
        <s v="Dr. Linda Giles"/>
        <s v="Terry Lawrence"/>
        <s v="Erin Thompson"/>
        <s v="Shane Murphy"/>
        <s v="Denise Jarvis"/>
        <s v="Ashley Delacruz"/>
        <s v="Robert Campbell"/>
        <s v="John Townsend Jr."/>
        <s v="Sharon Diaz DVM"/>
        <s v="Jonathan Hart"/>
        <s v="Anthony Morgan"/>
        <s v="Kimberly Ware"/>
        <s v="John Robinson"/>
        <s v="Raymond Montoya"/>
        <s v="Tonya Nunez"/>
        <s v="Edward Yang MD"/>
        <s v="Richard Moss"/>
        <s v="Kelly Bowers"/>
        <s v="Nicole Anderson"/>
        <s v="Teresa Jacobson"/>
        <s v="Jack Snyder"/>
        <s v="Elizabeth Guerrero"/>
        <s v="Sara Dominguez"/>
        <s v="Peter Wilkins"/>
        <s v="Emily Scott"/>
        <s v="James Fox"/>
        <s v="David Clark"/>
        <s v="Laura Price"/>
        <s v="Cindy Johnson"/>
        <s v="Larry Johnson"/>
        <s v="Sandy Randolph"/>
        <s v="Andrew May"/>
        <s v="Jennifer Cook"/>
        <s v="Brandon Howard"/>
        <s v="Darren Murphy"/>
        <s v="Christopher Miller"/>
        <s v="Ashley Williams"/>
        <s v="Michael Williams"/>
        <s v="Steven Reilly"/>
        <s v="Mark Woods"/>
        <s v="David Day"/>
        <s v="Rachael Klein"/>
        <s v="David Foster Jr."/>
        <s v="Alan Young"/>
        <s v="Timothy Carlson"/>
        <s v="Andrew Mack"/>
        <s v="Anna Wright"/>
        <s v="Andrew Bennett"/>
        <s v="Hannah Brooks"/>
        <s v="Susan Nicholson"/>
        <s v="Jennifer White"/>
        <s v="Sharon Booth"/>
        <s v="Lindsay Hernandez"/>
        <s v="Brandi Myers"/>
        <s v="Christina Anderson"/>
        <s v="Ashley Sawyer"/>
        <s v="Shelly Garcia"/>
        <s v="Brian Jordan Jr."/>
        <s v="Alexis Gutierrez"/>
        <s v="Edward Dean"/>
        <s v="Matthew Reed"/>
        <s v="Melinda Cooper"/>
        <s v="Regina Thompson"/>
        <s v="Janice Hudson"/>
        <s v="Victoria Trevino"/>
        <s v="Patricia Wright"/>
        <s v="William Fisher"/>
        <s v="Amanda Mckee"/>
        <s v="William Simon"/>
        <s v="Regina Smith"/>
        <s v="Adam West"/>
        <s v="Joshua Green"/>
        <s v="Austin Gray"/>
        <s v="Ana Wallace"/>
        <s v="Brian Stephens"/>
        <s v="Maurice Brown"/>
        <s v="Theresa Chavez"/>
        <s v="Travis Adams"/>
        <s v="David Richardson"/>
        <s v="Tracy Perry"/>
        <s v="Jacob Ruiz"/>
        <s v="Brandon Wiggins"/>
        <s v="Keith Ellis"/>
        <s v="Ronald Mcgee"/>
        <s v="Alexander Huff"/>
        <s v="Alex Jones MD"/>
        <s v="Mr. Jason Williams"/>
        <s v="Brandon Mcdowell"/>
        <s v="Brenda King"/>
        <s v="Valerie Payne"/>
        <s v="Shelley Lee"/>
        <s v="Richard Marsh"/>
        <s v="Donald Mora"/>
        <s v="Christian Arnold"/>
        <s v="Mark Jordan"/>
        <s v="Mikayla Maxwell"/>
        <s v="Shawn Bryant"/>
        <s v="Jonathan Scott"/>
        <s v="Michele Coleman"/>
        <s v="Jesse Forbes"/>
        <s v="Selena Campbell"/>
        <s v="Joanna Whitaker"/>
        <s v="Lisa May"/>
        <s v="Amanda Bailey"/>
        <s v="Erica Davis"/>
        <s v="Dorothy Lin"/>
        <s v="Ryan Montes"/>
        <s v="Angela Brooks"/>
        <s v="Aaron Parker DVM"/>
        <s v="Jamie Barber"/>
        <s v="Karen Marshall"/>
        <s v="Sara Graves"/>
        <s v="Sarah Miles"/>
        <s v="Kevin Lopez"/>
        <s v="Brandy Phillips"/>
        <s v="Patrick Coleman"/>
        <s v="Ryan Carr"/>
        <s v="Amber Smith"/>
        <s v="Jamie Fuller"/>
        <s v="Tina Young"/>
        <s v="Mr. Randy Kline"/>
        <s v="David White"/>
        <s v="Martin Jones"/>
        <s v="Ms. Andrea Sloan"/>
        <s v="Benjamin Richardson"/>
        <s v="Brittany Brown"/>
        <s v="Joshua Chavez"/>
        <s v="Brittany Hansen"/>
        <s v="Amy Daniels MD"/>
        <s v="Jamie Ross"/>
        <s v="Donna Adkins"/>
        <s v="Jeffrey Lane"/>
        <s v="Sara Sanchez"/>
        <s v="Joseph Wells"/>
        <s v="Ana Potter"/>
        <s v="Christopher Brown"/>
        <s v="Jennifer Coleman MD"/>
        <s v="Kristin Harrison"/>
        <s v="Amanda Morales"/>
        <s v="Stephanie Rose"/>
        <s v="Jose Smith"/>
        <s v="Nicole Mcgee"/>
        <s v="Kristine Bowen DVM"/>
        <s v="Alexis Cox"/>
        <s v="Steven Cruz"/>
        <s v="Dawn Hernandez"/>
        <s v="Katherine Maxwell"/>
        <s v="Stephanie Burns"/>
        <s v="Angela Ramirez"/>
        <s v="Victor Randolph III"/>
        <s v="James Black"/>
        <s v="Katherine Underwood"/>
        <s v="Gabriella Alexander"/>
        <s v="Sean Ortiz"/>
        <s v="Amber Rogers"/>
        <s v="Timothy Adkins"/>
        <s v="Sara Murray"/>
        <s v="Shannon Jensen"/>
        <s v="Michelle Ellison"/>
        <s v="Bobby Mcgee"/>
        <s v="Alison Knight"/>
        <s v="Jesse Brown"/>
        <s v="Kenneth Li"/>
        <s v="Lawrence Douglas"/>
        <s v="David Turner"/>
        <s v="Brittany Roberts"/>
        <s v="David Rivera"/>
        <s v="Nicole Freeman"/>
        <s v="Alyssa Wise"/>
        <s v="Tracey Gordon"/>
        <s v="Jennifer Munoz"/>
        <s v="Paul Willis"/>
        <s v="Christopher Martin"/>
        <s v="Megan Solomon"/>
        <s v="Christopher Fuller"/>
        <s v="Jacob Wilson"/>
        <s v="David Gonzalez"/>
        <s v="Rita Davidson"/>
        <s v="William Good"/>
        <s v="Rebecca Powell"/>
        <s v="Jennifer Rojas"/>
        <s v="Kyle Jones"/>
        <s v="Megan Joseph"/>
        <s v="Jose Daniels"/>
        <s v="Sarah Pineda"/>
        <s v="Rebecca Allen"/>
        <s v="Catherine Jensen"/>
        <s v="Katherine Peters"/>
        <s v="Richard Baird"/>
        <s v="Justin Knox"/>
        <s v="Jennifer Berry"/>
        <s v="Gail Reyes"/>
        <s v="Michael Johnson"/>
        <s v="Karen Harrison"/>
        <s v="Melissa Reed"/>
        <s v="Suzanne Anderson"/>
        <s v="Jacob Snyder"/>
        <s v="Brandi Ward"/>
        <s v="Jacob Everett"/>
        <s v="Sandra Morris"/>
        <s v="Richard Goodwin"/>
        <s v="Jessica Garcia MD"/>
        <s v="Thomas Hickman"/>
        <s v="Charlene Huynh"/>
        <s v="Paul Gibson"/>
        <s v="Phillip Adams"/>
        <s v="Erin Garcia"/>
        <s v="Shawna Olson"/>
        <s v="Bruce Jones"/>
        <s v="Janice Nixon"/>
        <s v="Craig Hale"/>
        <s v="Rebecca Sampson"/>
        <s v="Jennifer Dennis"/>
        <s v="Amanda Skinner"/>
        <s v="John Williams"/>
        <s v="Lindsey Bruce"/>
        <s v="Natalie Russell"/>
        <s v="Kimberly Robinson"/>
        <s v="Jennifer Soto"/>
        <s v="Christopher Cook"/>
        <s v="Antonio Brown"/>
        <s v="Christopher Jenkins"/>
        <s v="Miranda King"/>
        <s v="Melissa Morales"/>
        <s v="Deborah Chambers"/>
        <s v="Emily Beard"/>
        <s v="Janet Parker"/>
        <s v="Morgan Cole"/>
        <s v="Heidi Martinez"/>
        <s v="Sonya Taylor"/>
        <s v="Jean Moody"/>
        <s v="Joshua Hernandez"/>
        <s v="Brandy Bright"/>
        <s v="Lisa Stephens"/>
        <s v="Anna Carter"/>
        <s v="Cole Brooks"/>
        <s v="Robert Jones"/>
        <s v="Ashley Harvey"/>
        <s v="Albert Miller"/>
        <s v="Marc Vazquez"/>
        <s v="Barbara Anderson"/>
        <s v="Jamie Berry"/>
        <s v="Danny Alexander"/>
        <s v="Ashley Lawrence"/>
        <s v="Danny Watkins"/>
        <s v="Max Lee"/>
        <s v="William Mcconnell"/>
        <s v="Alison Vazquez"/>
        <s v="Scott Jimenez"/>
        <s v="Debra Stone"/>
        <s v="John Sharp"/>
        <s v="Robert Powell"/>
        <s v="Ashlee Roberson"/>
        <s v="Christy Miller"/>
        <s v="Lori Garza"/>
        <s v="Deanna Brown"/>
        <s v="Jorge Rice"/>
        <s v="Joyce Farmer"/>
        <s v="Trevor Webb"/>
        <s v="Jessica Hernandez"/>
        <s v="Jeffrey Fowler"/>
        <s v="Melissa Prince"/>
        <s v="Paul Hughes"/>
        <s v="Cynthia Fischer"/>
        <s v="Amy Barker"/>
        <s v="Kim Bentley"/>
        <s v="Brandy Gomez"/>
        <s v="Nicole Nelson"/>
        <s v="Jennifer Stevens"/>
        <s v="James Johnson"/>
        <s v="Cassandra Avila"/>
        <s v="Susan Jenkins"/>
        <s v="Henry Cowan"/>
        <s v="Adam Clarke"/>
        <s v="Bobby Moore"/>
        <s v="Joshua Smith"/>
        <s v="Zachary Joyce"/>
        <s v="Dr. Raymond Benjamin"/>
        <s v="Emily Lang"/>
        <s v="David Diaz"/>
        <s v="Robert Green"/>
        <s v="Jacqueline Johnson"/>
        <s v="Jack Sandoval"/>
        <s v="Kelly Sanders"/>
        <s v="Donna Norman"/>
        <s v="Mark Scott MD"/>
        <s v="Jesus Reed"/>
        <s v="Emily Bradley"/>
        <s v="Jamie Luna"/>
        <s v="Jerry Greene"/>
        <s v="Jeremiah Garza"/>
        <s v="Timothy White"/>
        <s v="Tammy Medina"/>
        <s v="Ashley Wood"/>
        <s v="Jeremy Branch"/>
        <s v="Audrey Young"/>
        <s v="Frank Cummings"/>
        <s v="Evan Lopez"/>
        <s v="Mark Jackson"/>
        <s v="Dana Coleman"/>
        <s v="Scott Merritt"/>
        <s v="Cindy Tucker"/>
        <s v="Nicholas Vazquez"/>
        <s v="Jacob Johnston"/>
        <s v="Charlene Taylor"/>
        <s v="Joseph Diaz"/>
        <s v="Michael Edwards"/>
        <s v="Leah Garcia"/>
        <s v="Megan Jones"/>
        <s v="Margaret West"/>
        <s v="Jennifer Gibson"/>
        <s v="Lisa Salazar"/>
        <s v="Brad Gomez"/>
        <s v="Brian Smith"/>
        <s v="Maria Carroll"/>
        <s v="Amy Garcia"/>
        <s v="Megan Rodriguez"/>
        <s v="Jacob Jarvis"/>
        <s v="Nancy Ford"/>
        <s v="Amanda Pollard"/>
        <s v="Kathleen Mcdaniel"/>
        <s v="Matthew Massey"/>
        <s v="Eileen Hudson"/>
        <s v="Steven Morales"/>
        <s v="Amanda Nguyen"/>
        <s v="Alexander Carter"/>
        <s v="Miss Melanie Wiley"/>
        <s v="George Ramirez"/>
        <s v="Rita Elliott"/>
        <s v="William Martinez"/>
        <s v="Penny Moore"/>
        <s v="Taylor Howard"/>
        <s v="Sara Jensen"/>
        <s v="Joshua Mitchell"/>
        <s v="Christopher King"/>
        <s v="Eric Sanchez"/>
        <s v="Victoria Mason"/>
        <s v="Victoria Hernandez"/>
        <s v="Colleen Gonzalez"/>
        <s v="Susan Garza"/>
        <s v="Mark Austin"/>
        <s v="Lisa Tucker"/>
        <s v="James Watson"/>
        <s v="Stacey Goodwin"/>
        <s v="Lauren Ramos"/>
        <s v="Michele King"/>
        <s v="Hunter Perez"/>
        <s v="Carol Ortiz"/>
        <s v="Brandon Pacheco"/>
        <s v="Steven Martinez"/>
        <s v="Michael Wallace"/>
        <s v="James Fischer"/>
        <s v="Rachael Parker"/>
        <s v="Melvin Rios"/>
        <s v="Mathew Howe"/>
        <s v="Shari Cook"/>
        <s v="Carrie Harrison"/>
        <s v="Kevin Lee"/>
        <s v="Eric Patel"/>
        <s v="Sarah Warren"/>
        <s v="Miss Alicia Allen"/>
        <s v="Emily Fisher"/>
        <s v="Matthew Barajas"/>
        <s v="Tammy Burch"/>
        <s v="Caitlyn Gonzalez"/>
        <s v="Terri Smith"/>
        <s v="John Callahan"/>
        <s v="Brittany Rodriguez"/>
        <s v="Sherry Murphy"/>
        <s v="Doris Sanchez"/>
        <s v="James Long"/>
        <s v="Kelly Pineda"/>
        <s v="Edward Lawson"/>
        <s v="Tina Martin"/>
        <s v="Elizabeth Wright"/>
        <s v="Amy Nguyen"/>
        <s v="Anthony Rodriguez"/>
        <s v="Carrie Hall"/>
        <s v="Gregory Stewart"/>
        <s v="Daniel Little"/>
        <s v="Helen Fisher"/>
        <s v="Michele Diaz"/>
        <s v="Molly Jackson"/>
        <s v="Brandi Taylor"/>
        <s v="Julie Holt"/>
        <s v="Nathan Davenport"/>
        <s v="James Wise"/>
        <s v="Richard Brown"/>
        <s v="Bryan Reyes"/>
        <s v="James Gonzalez"/>
        <s v="Sara Martinez"/>
        <s v="Nicole Ibarra"/>
        <s v="Daniel Davis"/>
        <s v="Charles Herrera"/>
        <s v="Kimberly Howard"/>
        <s v="Robert Nicholson"/>
        <s v="Sandra Simmons"/>
        <s v="Rachel Fischer"/>
        <s v="Karen Davidson"/>
        <s v="Brian Brown"/>
        <s v="Deborah Thompson"/>
        <s v="Michelle Lawson"/>
        <s v="Nicole Gonzales"/>
        <s v="Albert Harper"/>
        <s v="Tammy Sanford"/>
        <s v="Jeffrey Morales"/>
        <s v="Michael Nelson"/>
        <s v="Sydney Perkins"/>
        <s v="Paul Jones"/>
        <s v="Thomas Fisher"/>
        <s v="Richard Jenkins"/>
        <s v="Scott Johnson"/>
        <s v="Gregg Green"/>
        <s v="James Lewis"/>
        <s v="Jaime Ramirez"/>
        <s v="Janice Robles"/>
        <s v="Jimmy Smith"/>
        <s v="Jerry Nelson"/>
        <s v="Bruce Campbell"/>
        <s v="Margaret Riley"/>
        <s v="Molly Smith"/>
        <s v="Susan Fuentes"/>
        <s v="Edward Howe"/>
        <s v="Nicole Valenzuela"/>
        <s v="Sandra Brock"/>
        <s v="Vanessa Young"/>
        <s v="John Tucker"/>
        <s v="Shannon Miller"/>
        <s v="Dana Williams"/>
        <s v="Vickie Charles"/>
        <s v="Barbara Richardson"/>
        <s v="Tyler Johnson"/>
        <s v="Brett Moore"/>
        <s v="Maria Williams"/>
        <s v="Julie Harrison"/>
        <s v="Justin Lewis"/>
        <s v="Alexander Smith"/>
        <s v="Jessica Robinson"/>
        <s v="Joyce Lane"/>
        <s v="Nicholas Mosley"/>
        <s v="Wyatt Miller"/>
        <s v="Patricia Gomez"/>
        <s v="Phillip Roberts"/>
        <s v="James Valencia"/>
        <s v="Russell Figueroa"/>
        <s v="Carrie Black"/>
        <s v="Teresa Gonzalez"/>
        <s v="Edward Mueller"/>
        <s v="Brent Bauer"/>
        <s v="Ann White"/>
        <s v="Timothy Carpenter"/>
        <s v="Tabitha Bowen"/>
        <s v="Mathew Lee"/>
        <s v="Deborah Woodard"/>
        <s v="Linda Hunter"/>
        <s v="Jessica Romero"/>
        <s v="Victor Brown"/>
        <s v="Rebecca Park"/>
        <s v="Christine Houston"/>
        <s v="Wendy Pope"/>
        <s v="Megan Dawson"/>
        <s v="Donna Short"/>
        <s v="Thomas Williams"/>
        <s v="Thomas Garcia"/>
        <s v="Nancy Salinas"/>
        <s v="Matthew Hubbard"/>
        <s v="Vincent Benton"/>
        <s v="Mark Herman"/>
        <s v="Michelle Oconnor"/>
        <s v="Vickie Jackson"/>
        <s v="Charles Edwards"/>
        <s v="Jose Garrett"/>
        <s v="Mrs. Emily Johnson"/>
        <s v="April Alvarez"/>
        <s v="Christopher Harris"/>
        <s v="Samantha Adams"/>
        <s v="Virginia Hunter"/>
        <s v="Brandon Hernandez"/>
        <s v="Kelsey Blankenship"/>
        <s v="Michelle Goodman"/>
        <s v="Shannon Murray"/>
        <s v="Denise Walker"/>
        <s v="Cody Wong"/>
        <s v="Juan Gonzalez"/>
        <s v="Benjamin King"/>
        <s v="Amanda Stafford"/>
        <s v="Thomas Phillips"/>
        <s v="Diana Price"/>
        <s v="William Sullivan"/>
        <s v="Nicole Martin"/>
        <s v="Veronica James"/>
        <s v="Megan Donovan"/>
        <s v="Curtis Proctor"/>
        <s v="Heather Pratt"/>
        <s v="Tyler Goodman"/>
        <s v="Trevor Johnson"/>
        <s v="Brian Hamilton"/>
        <s v="Joseph Bennett"/>
        <s v="Kelly Butler"/>
        <s v="Andrew Rivera"/>
        <s v="Keith Thomas"/>
        <s v="Erin Dillon"/>
        <s v="Jennifer Obrien"/>
        <s v="Tammie Clark"/>
        <s v="Jodi Phillips"/>
        <s v="Penny Ray"/>
        <s v="Alan Walters"/>
        <s v="Christopher Rodgers"/>
        <s v="Alyssa Osborne"/>
        <s v="Taylor Wilson"/>
        <s v="Alicia Griffin"/>
        <s v="Krystal Brennan"/>
        <s v="Tara Perry"/>
        <s v="Jonathan Thomas"/>
        <s v="Terrence Nunez"/>
        <s v="William Francis"/>
        <s v="Ms. Tammy Schwartz"/>
        <s v="James Garcia"/>
        <s v="Jessica Conley"/>
        <s v="Eric Smith"/>
        <s v="Andre Gonzalez"/>
        <s v="Daisy Scott"/>
        <s v="Margaret Andrews"/>
        <s v="Tonya Johnson"/>
        <s v="John Smith"/>
        <s v="Eric Jones"/>
        <s v="Yvonne Hampton"/>
        <s v="Gloria Turner"/>
        <s v="Alyssa Hall"/>
        <s v="William Morales"/>
        <s v="Teresa Martin"/>
        <s v="Jennifer Scott"/>
        <s v="Meghan Fernandez"/>
        <s v="Nicholas Hodges"/>
        <s v="Heather Parker"/>
        <s v="Sarah Willis"/>
        <s v="Marcus Ryan"/>
        <s v="Cynthia Hernandez"/>
        <s v="Thomas Rojas"/>
        <s v="Heather Burke"/>
        <s v="Wendy Robinson"/>
        <s v="Sara Sanders"/>
        <s v="Kelli Roberts"/>
        <s v="Steven Phillips"/>
        <s v="Jerry Martinez"/>
        <s v="Anthony Lopez"/>
        <s v="Laura Gonzalez"/>
        <s v="Christopher Scott"/>
        <s v="Larry Estrada"/>
        <s v="Carol Foster"/>
        <s v="Jamie Lloyd MD"/>
        <s v="Miguel Walker"/>
        <s v="Joshua Stevens"/>
        <s v="Andrea Golden"/>
        <s v="Shawn Johnson"/>
        <s v="Steven Lee"/>
        <s v="Sara Smith"/>
        <s v="Carl Taylor"/>
        <s v="Scott Allen"/>
        <s v="Karen Williamson"/>
        <s v="Jeffrey Hart"/>
        <s v="April Carter"/>
        <s v="Taylor Greene"/>
        <s v="Jessica Sosa"/>
        <s v="William Patton"/>
        <s v="James Obrien"/>
        <s v="Jean Jones"/>
        <s v="Charles Patel"/>
        <s v="Ian Cuevas"/>
        <s v="Danielle Barnes"/>
        <s v="Mckenzie Booth"/>
        <s v="Brian Walters"/>
        <s v="Nicole Perez"/>
        <s v="Nathan Nelson"/>
        <s v="Dr. Brady Jackson"/>
        <s v="Rebecca Perry"/>
        <s v="Geoffrey Jackson"/>
        <s v="Breanna Bruce"/>
        <s v="Vanessa Fletcher"/>
        <s v="Samantha Jackson"/>
        <s v="Allen Lopez"/>
        <s v="Amy Hines"/>
        <s v="Derrick Luna"/>
        <s v="Kimberly Turner"/>
        <s v="Dustin Bell"/>
        <s v="Heather Smith"/>
        <s v="Cynthia Horn"/>
        <s v="Cody Marquez"/>
        <s v="Stacey Martinez"/>
        <s v="Maurice Murray"/>
        <s v="Steven Mills"/>
        <s v="Derek Johnson"/>
        <s v="Dale Gray"/>
        <s v="James Hernandez"/>
        <s v="Wayne Munoz"/>
        <s v="James Mitchell"/>
        <s v="Karen Scott"/>
        <s v="Stephanie Hicks"/>
        <s v="John Hanna"/>
        <s v="Cindy Dunn"/>
        <s v="Mr. John Myers Jr."/>
        <s v="Evelyn Boone"/>
        <s v="Crystal Williams"/>
        <s v="Calvin Mitchell"/>
        <s v="Jasmin Bond"/>
        <s v="Natalie Adams"/>
        <s v="Brandon Anderson"/>
        <s v="David Brown"/>
        <s v="Jacob Walsh"/>
        <s v="Seth Sawyer"/>
        <s v="Sheila Ayers"/>
        <s v="Beth Johnson"/>
        <s v="Stephen Phillips"/>
        <s v="Stephanie Hinton"/>
        <s v="Todd Jones"/>
        <s v="Ronald Collins"/>
        <s v="Eric Blankenship"/>
        <s v="James Kennedy"/>
        <s v="Dr. Kenneth Moss"/>
        <s v="Ryan Hunter"/>
        <s v="Debra Dixon"/>
        <s v="Zoe Mccormick"/>
        <s v="Dennis Lang"/>
        <s v="Sierra Olson"/>
        <s v="Joseph Munoz"/>
        <s v="David Pollard"/>
        <s v="Melissa Benitez"/>
        <s v="Daniel Green"/>
        <s v="Sean Brown"/>
        <s v="Kathy Coleman"/>
        <s v="Keith Lopez"/>
        <s v="Chelsea Gonzales"/>
        <s v="Olivia Douglas"/>
        <s v="Justin Pugh"/>
        <s v="Kristen George"/>
        <s v="Jessica Dillon"/>
        <s v="Paul Donovan"/>
        <s v="Karen Bell"/>
        <s v="Edwin Simpson"/>
        <s v="Daniel Mathews"/>
        <s v="Jennifer Adams"/>
        <s v="Laura Weaver"/>
        <s v="Barbara Soto"/>
        <s v="Kelly Romero"/>
        <s v="Steven Garrison"/>
        <s v="Jennifer Browning"/>
        <s v="Laura Alexander"/>
        <s v="David Butler"/>
        <s v="Tanya Mccall"/>
        <s v="Scott Ramsey"/>
        <s v="Anthony Taylor"/>
        <s v="Victor Mcdaniel"/>
        <s v="Howard Williams"/>
        <s v="Amanda Gonzales"/>
        <s v="Ashley Hogan"/>
        <s v="Eric Johnston"/>
        <s v="Timothy Gonzales"/>
        <s v="Caitlin Spears"/>
        <s v="Jennifer Park"/>
        <s v="Timothy Hall MD"/>
        <s v="Catherine Peterson"/>
        <s v="Katrina Tran"/>
        <s v="Alexander Coleman"/>
        <s v="Tracy Lawson"/>
        <s v="Meghan Bryant"/>
        <s v="Patricia Maldonado"/>
        <s v="Sean Neal"/>
        <s v="Elizabeth Schneider"/>
        <s v="Jennifer Walter"/>
        <s v="Brandi Velasquez"/>
        <s v="Brandon King"/>
        <s v="Mrs. Amy Burch DDS"/>
        <s v="Dr. Lisa Hernandez"/>
        <s v="Stephen Allen"/>
        <s v="Krista Stephenson"/>
        <s v="Raymond Edwards"/>
        <s v="Kristi Mccoy"/>
        <s v="Jill Wiley"/>
        <s v="Kim Perkins"/>
        <s v="Steven Thomas"/>
        <s v="Lori Hinton"/>
        <s v="Henry Bernard"/>
        <s v="Steven Cuevas"/>
        <s v="Nicole Pineda"/>
        <s v="Megan Baker"/>
        <s v="Anthony Romero"/>
        <s v="Stephen Newman"/>
        <s v="Joseph Nguyen"/>
        <s v="Stacy Roberts"/>
        <s v="Catherine Hanson"/>
        <s v="Corey Wood"/>
        <s v="Randall Moran"/>
        <s v="Jeffrey Nolan"/>
        <s v="Cassie Best"/>
        <s v="Eric Lopez MD"/>
        <s v="Michael Peterson"/>
        <s v="Maria Perry"/>
        <s v="Terry Johnson"/>
        <s v="Jonathan Woods"/>
        <s v="Duane Willis"/>
        <s v="John Beck"/>
        <s v="Michael Mcmahon"/>
        <s v="Shelby Andrews"/>
        <s v="Danielle Rivera"/>
        <s v="Cody Francis"/>
        <s v="Jerry Henson"/>
        <s v="Jeremy Strickland"/>
        <s v="Jon Taylor"/>
        <s v="Lauren Gutierrez"/>
        <s v="Christopher Navarro"/>
        <s v="Janice Jones"/>
        <s v="Katrina Smith"/>
        <s v="Veronica Stevens"/>
        <s v="Tiffany Hill"/>
        <s v="Rebecca Carr"/>
        <s v="Kenneth Shaw"/>
        <s v="Michael Ramos"/>
        <s v="Brooke Arnold"/>
        <s v="Kelly Nunez"/>
        <s v="Melissa Mason"/>
        <s v="Samantha Daugherty"/>
        <s v="Karen Howell"/>
        <s v="John Johnson"/>
        <s v="Amanda Williams"/>
        <s v="Nichole Holland"/>
        <s v="Robert Lee"/>
        <s v="Adam Anderson"/>
        <s v="Corey Martin"/>
        <s v="Tina Bryant"/>
        <s v="Stephanie Mason"/>
        <s v="Daniel Watson"/>
        <s v="Krista Jefferson"/>
        <s v="Kevin Conrad"/>
        <s v="Erik Nicholson"/>
        <s v="Megan Montoya"/>
        <s v="Amanda Arnold"/>
        <s v="Laurie Johnson"/>
        <s v="Gregory Mills"/>
        <s v="William Scott"/>
        <s v="Mrs. Courtney Arnold"/>
        <s v="Thomas Higgins"/>
        <s v="Bridget Thomas"/>
        <s v="Paul Carson"/>
        <s v="Susan Moore"/>
        <s v="Julia Lyons"/>
        <s v="Tiffany Salazar"/>
        <s v="Michael Martinez"/>
        <s v="Kristina Johnson"/>
        <s v="Roberto Lucas MD"/>
        <s v="David Perez"/>
        <s v="Carly Mitchell"/>
        <s v="Anthony Wall"/>
        <s v="Sarah Garcia"/>
        <s v="Jonathan Miller"/>
        <s v="Nicholas Parker"/>
        <s v="Jeffery Boyd"/>
        <s v="Michael Allen"/>
        <s v="Heather Bates"/>
        <s v="Tracy Hurst"/>
        <s v="Daniel Austin"/>
        <s v="Melissa Trevino"/>
        <s v="Kayla Foster"/>
        <s v="Kevin Jimenez"/>
        <s v="Alexandra Moore"/>
        <s v="Emily Barnes"/>
        <s v="Melissa Holden"/>
        <s v="Christopher Brooks"/>
        <s v="Jillian Johnston DVM"/>
        <s v="David Hernandez"/>
        <s v="Michael Thomas"/>
        <s v="Stephanie Brown"/>
        <s v="Shawn Gonzales"/>
        <s v="Jeremy Wood"/>
        <s v="Andrew Zavala"/>
        <s v="Destiny Jones"/>
        <s v="William Kennedy"/>
        <s v="Karen Fox"/>
        <s v="John Cooper"/>
        <s v="James Kline"/>
        <s v="Stephanie Weaver"/>
        <s v="Alexa Garcia"/>
        <s v="Annette Johnson"/>
        <s v="Christine Watson"/>
        <s v="Morgan Chung"/>
        <s v="Charles Simmons"/>
        <s v="William Rivera"/>
        <s v="Lindsay Contreras"/>
        <s v="Katherine Richard"/>
        <s v="Austin Jones"/>
        <s v="Troy Price"/>
        <s v="Todd Walker"/>
        <s v="Dr. George Smith DVM"/>
        <s v="Robert Reese"/>
        <s v="Dakota Benson"/>
        <s v="Morgan Johnson"/>
        <s v="William Oneill"/>
        <s v="Frederick Alvarez"/>
        <s v="Thomas Cooper"/>
        <s v="Mindy Rose"/>
        <s v="David Cole"/>
        <s v="Tricia Graham"/>
        <s v="Daniel Bryant"/>
        <s v="Michael Brady"/>
        <s v="Shawn Noble"/>
        <s v="Richard Rodriguez"/>
        <s v="Kristina Black"/>
        <s v="Kelly Davis"/>
        <s v="Brian Moore"/>
        <s v="Jacob Ryan"/>
        <s v="Zachary Jones"/>
        <s v="Alyssa Moses"/>
        <s v="Rachel Haynes"/>
        <s v="Scott Hernandez"/>
        <s v="Brian Simmons"/>
        <s v="Richard Miller"/>
        <s v="Toni Smith"/>
        <s v="Amanda Gonzalez"/>
        <s v="David Young"/>
        <s v="Darin Bailey"/>
        <s v="Kathy Parker"/>
        <s v="Jared Martin"/>
        <s v="Joseph Ortiz"/>
        <s v="Alyssa Phillips"/>
        <s v="April Castillo"/>
        <s v="Kimberly Brown"/>
        <s v="Jessica Briggs"/>
        <s v="Troy Benson"/>
        <s v="Tyler Elliott"/>
        <s v="Luke Hood"/>
        <s v="Jim Torres"/>
        <s v="Mark Vazquez"/>
        <s v="Joseph Hanna"/>
        <s v="Douglas Brock"/>
        <s v="Mary Rose"/>
        <s v="Michelle Robbins"/>
        <s v="Angela Smith"/>
        <s v="Kimberly Ward"/>
        <s v="Charles Wilson"/>
        <s v="Paul Roberts"/>
        <s v="Jasmine Espinoza"/>
        <s v="Loretta Taylor"/>
        <s v="Tracy Molina"/>
        <s v="Jose Moore"/>
        <s v="Victoria Brown"/>
        <s v="Erin Yates"/>
        <s v="Jamie Summers"/>
        <s v="Cynthia Wallace"/>
        <s v="Nicole Fowler"/>
        <s v="Daniel Lucas"/>
        <s v="Katrina Turner"/>
        <s v="Zachary Mendez"/>
        <s v="Amy Harris"/>
        <s v="Robert Shaw"/>
        <s v="Jason Stewart"/>
        <s v="Katherine Crawford"/>
        <s v="Keith Davis"/>
        <s v="Jason Martinez"/>
        <s v="Randall Santana"/>
        <s v="Diane Thomas"/>
        <s v="Cynthia Lawrence"/>
        <s v="Trevor Green"/>
        <s v="Sarah Weber"/>
        <s v="Mrs. Michelle Gardner PhD"/>
        <s v="Anthony Brandt"/>
        <s v="Christina Martin"/>
        <s v="Julie Soto"/>
        <s v="Michelle Waller"/>
        <s v="Howard Horton"/>
        <s v="Ryan Morales"/>
        <s v="Dustin Pitts"/>
        <s v="Mrs. Jennifer Clark"/>
        <s v="Jean Vaughn"/>
        <s v="Brian Vasquez"/>
        <s v="Kristy Gilmore"/>
        <s v="Adam Richardson"/>
        <s v="Todd Pruitt"/>
        <s v="Kimberly Jones"/>
        <s v="Jasmine Johnson"/>
        <s v="Shawn Davis"/>
        <s v="Christopher Castro"/>
        <s v="Laurie Ramos"/>
        <s v="Karen Maldonado"/>
        <s v="Teresa Carr"/>
        <s v="Timothy James"/>
        <s v="Brent Berg"/>
        <s v="Austin Harrington"/>
        <s v="Sara Thomas"/>
        <s v="Renee Thompson"/>
        <s v="Sarah Sanders"/>
        <s v="Victoria Cooper"/>
      </sharedItems>
    </cacheField>
    <cacheField name="Age" numFmtId="0">
      <sharedItems containsSemiMixedTypes="0" containsString="0" containsNumber="1" containsInteger="1" minValue="1" maxValue="90"/>
    </cacheField>
    <cacheField name="Gender" numFmtId="0">
      <sharedItems count="2">
        <s v="Female"/>
        <s v="Male"/>
      </sharedItems>
    </cacheField>
    <cacheField name="Admission Date" numFmtId="14">
      <sharedItems containsSemiMixedTypes="0" containsNonDate="0" containsDate="1" containsString="0" minDate="2024-05-29T00:00:00" maxDate="2025-05-30T00:00:00"/>
    </cacheField>
    <cacheField name="Discharge Date" numFmtId="14">
      <sharedItems containsSemiMixedTypes="0" containsNonDate="0" containsDate="1" containsString="0" minDate="2024-05-31T00:00:00" maxDate="2025-06-12T00:00:00"/>
    </cacheField>
    <cacheField name="Department" numFmtId="0">
      <sharedItems count="7">
        <s v="Pediatrics"/>
        <s v="Neurology"/>
        <s v="Orthopedics"/>
        <s v="Cardiology"/>
        <s v="ENT"/>
        <s v="Dermatology"/>
        <s v="Gastroenterology"/>
      </sharedItems>
    </cacheField>
    <cacheField name="Diagnosis" numFmtId="0">
      <sharedItems count="10">
        <s v="Stroke"/>
        <s v="Hypertension"/>
        <s v="Eczema"/>
        <s v="Arrhythmia"/>
        <s v="Heart Attack"/>
        <s v="Migraine"/>
        <s v="Ulcer"/>
        <s v="Sinusitis"/>
        <s v="Fracture"/>
        <s v="Asthma"/>
      </sharedItems>
    </cacheField>
    <cacheField name="Treatment Cost" numFmtId="0">
      <sharedItems containsSemiMixedTypes="0" containsString="0" containsNumber="1" containsInteger="1" minValue="1018" maxValue="9995"/>
    </cacheField>
    <cacheField name="Billing Status" numFmtId="0">
      <sharedItems count="2">
        <s v="Unpaid"/>
        <s v="Paid"/>
      </sharedItems>
    </cacheField>
    <cacheField name="Attending Physician" numFmtId="0">
      <sharedItems count="7">
        <s v="Dr. Khan"/>
        <s v="Dr. White"/>
        <s v="Dr. Mehta"/>
        <s v="Dr. Patel"/>
        <s v="Dr. Baker"/>
        <s v="Dr. Adams"/>
        <s v="Dr. Chen"/>
      </sharedItems>
    </cacheField>
    <cacheField name="Nurse Assigned" numFmtId="0">
      <sharedItems/>
    </cacheField>
    <cacheField name="Room Type" numFmtId="0">
      <sharedItems count="3">
        <s v="Shared"/>
        <s v="Semi-Private"/>
        <s v="Private"/>
      </sharedItems>
    </cacheField>
    <cacheField name="Length of Stay (Days)" numFmtId="0">
      <sharedItems containsSemiMixedTypes="0" containsString="0" containsNumber="1" containsInteger="1" minValue="1" maxValue="14"/>
    </cacheField>
    <cacheField name="task3" numFmtId="0">
      <sharedItems/>
    </cacheField>
  </cacheFields>
  <extLst>
    <ext xmlns:x14="http://schemas.microsoft.com/office/spreadsheetml/2009/9/main" uri="{725AE2AE-9491-48be-B2B4-4EB974FC3084}">
      <x14:pivotCacheDefinition pivotCacheId="238890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22"/>
    <x v="0"/>
    <d v="2024-08-08T00:00:00"/>
    <d v="2024-08-16T00:00:00"/>
    <x v="0"/>
    <x v="0"/>
    <n v="5912"/>
    <x v="0"/>
    <x v="0"/>
    <s v="Nurse Zoe"/>
    <x v="0"/>
    <n v="8"/>
    <s v="Extended"/>
  </r>
  <r>
    <x v="1"/>
    <x v="1"/>
    <n v="49"/>
    <x v="1"/>
    <d v="2024-11-17T00:00:00"/>
    <d v="2024-11-21T00:00:00"/>
    <x v="1"/>
    <x v="1"/>
    <n v="2172"/>
    <x v="0"/>
    <x v="0"/>
    <s v="Nurse Rita"/>
    <x v="1"/>
    <n v="4"/>
    <s v="Extended"/>
  </r>
  <r>
    <x v="2"/>
    <x v="2"/>
    <n v="85"/>
    <x v="1"/>
    <d v="2025-01-05T00:00:00"/>
    <d v="2025-01-19T00:00:00"/>
    <x v="2"/>
    <x v="2"/>
    <n v="9245"/>
    <x v="1"/>
    <x v="1"/>
    <s v="Nurse John"/>
    <x v="1"/>
    <n v="14"/>
    <s v="Extended"/>
  </r>
  <r>
    <x v="3"/>
    <x v="3"/>
    <n v="27"/>
    <x v="0"/>
    <d v="2024-07-02T00:00:00"/>
    <d v="2024-07-03T00:00:00"/>
    <x v="1"/>
    <x v="3"/>
    <n v="9436"/>
    <x v="1"/>
    <x v="2"/>
    <s v="Nurse John"/>
    <x v="0"/>
    <n v="1"/>
    <s v="Normal"/>
  </r>
  <r>
    <x v="4"/>
    <x v="4"/>
    <n v="68"/>
    <x v="1"/>
    <d v="2025-05-10T00:00:00"/>
    <d v="2025-05-22T00:00:00"/>
    <x v="3"/>
    <x v="3"/>
    <n v="4298"/>
    <x v="1"/>
    <x v="3"/>
    <s v="Nurse Allen"/>
    <x v="0"/>
    <n v="12"/>
    <s v="Extended"/>
  </r>
  <r>
    <x v="5"/>
    <x v="5"/>
    <n v="44"/>
    <x v="1"/>
    <d v="2024-10-24T00:00:00"/>
    <d v="2024-11-07T00:00:00"/>
    <x v="2"/>
    <x v="4"/>
    <n v="5055"/>
    <x v="0"/>
    <x v="4"/>
    <s v="Nurse Zoe"/>
    <x v="2"/>
    <n v="14"/>
    <s v="Extended"/>
  </r>
  <r>
    <x v="6"/>
    <x v="6"/>
    <n v="65"/>
    <x v="1"/>
    <d v="2025-05-07T00:00:00"/>
    <d v="2025-05-17T00:00:00"/>
    <x v="1"/>
    <x v="5"/>
    <n v="9801"/>
    <x v="0"/>
    <x v="5"/>
    <s v="Nurse Lisa"/>
    <x v="1"/>
    <n v="10"/>
    <s v="Extended"/>
  </r>
  <r>
    <x v="7"/>
    <x v="7"/>
    <n v="28"/>
    <x v="0"/>
    <d v="2024-09-23T00:00:00"/>
    <d v="2024-10-03T00:00:00"/>
    <x v="1"/>
    <x v="6"/>
    <n v="4916"/>
    <x v="1"/>
    <x v="5"/>
    <s v="Nurse Kelly"/>
    <x v="2"/>
    <n v="10"/>
    <s v="Extended"/>
  </r>
  <r>
    <x v="8"/>
    <x v="8"/>
    <n v="27"/>
    <x v="0"/>
    <d v="2025-03-22T00:00:00"/>
    <d v="2025-03-26T00:00:00"/>
    <x v="4"/>
    <x v="7"/>
    <n v="8551"/>
    <x v="0"/>
    <x v="0"/>
    <s v="Nurse Allen"/>
    <x v="1"/>
    <n v="4"/>
    <s v="Extended"/>
  </r>
  <r>
    <x v="9"/>
    <x v="9"/>
    <n v="15"/>
    <x v="1"/>
    <d v="2025-05-09T00:00:00"/>
    <d v="2025-05-20T00:00:00"/>
    <x v="5"/>
    <x v="3"/>
    <n v="6610"/>
    <x v="1"/>
    <x v="3"/>
    <s v="Nurse Allen"/>
    <x v="1"/>
    <n v="11"/>
    <s v="Extended"/>
  </r>
  <r>
    <x v="10"/>
    <x v="10"/>
    <n v="39"/>
    <x v="1"/>
    <d v="2024-07-29T00:00:00"/>
    <d v="2024-08-05T00:00:00"/>
    <x v="4"/>
    <x v="7"/>
    <n v="6049"/>
    <x v="1"/>
    <x v="3"/>
    <s v="Nurse John"/>
    <x v="1"/>
    <n v="7"/>
    <s v="Extended"/>
  </r>
  <r>
    <x v="11"/>
    <x v="11"/>
    <n v="41"/>
    <x v="0"/>
    <d v="2024-10-03T00:00:00"/>
    <d v="2024-10-13T00:00:00"/>
    <x v="1"/>
    <x v="7"/>
    <n v="2857"/>
    <x v="1"/>
    <x v="0"/>
    <s v="Nurse Rita"/>
    <x v="1"/>
    <n v="10"/>
    <s v="Extended"/>
  </r>
  <r>
    <x v="12"/>
    <x v="12"/>
    <n v="56"/>
    <x v="0"/>
    <d v="2025-03-16T00:00:00"/>
    <d v="2025-03-25T00:00:00"/>
    <x v="5"/>
    <x v="8"/>
    <n v="9151"/>
    <x v="0"/>
    <x v="3"/>
    <s v="Nurse Lisa"/>
    <x v="1"/>
    <n v="9"/>
    <s v="Extended"/>
  </r>
  <r>
    <x v="13"/>
    <x v="13"/>
    <n v="22"/>
    <x v="1"/>
    <d v="2024-05-29T00:00:00"/>
    <d v="2024-06-09T00:00:00"/>
    <x v="0"/>
    <x v="5"/>
    <n v="8713"/>
    <x v="0"/>
    <x v="5"/>
    <s v="Nurse Zoe"/>
    <x v="1"/>
    <n v="11"/>
    <s v="Extended"/>
  </r>
  <r>
    <x v="14"/>
    <x v="14"/>
    <n v="44"/>
    <x v="0"/>
    <d v="2025-02-27T00:00:00"/>
    <d v="2025-03-11T00:00:00"/>
    <x v="2"/>
    <x v="2"/>
    <n v="6296"/>
    <x v="0"/>
    <x v="4"/>
    <s v="Nurse Mia"/>
    <x v="1"/>
    <n v="12"/>
    <s v="Extended"/>
  </r>
  <r>
    <x v="15"/>
    <x v="15"/>
    <n v="49"/>
    <x v="0"/>
    <d v="2024-12-17T00:00:00"/>
    <d v="2024-12-30T00:00:00"/>
    <x v="5"/>
    <x v="2"/>
    <n v="1653"/>
    <x v="0"/>
    <x v="0"/>
    <s v="Nurse John"/>
    <x v="0"/>
    <n v="13"/>
    <s v="Extended"/>
  </r>
  <r>
    <x v="16"/>
    <x v="16"/>
    <n v="16"/>
    <x v="0"/>
    <d v="2025-01-23T00:00:00"/>
    <d v="2025-02-04T00:00:00"/>
    <x v="1"/>
    <x v="6"/>
    <n v="8496"/>
    <x v="1"/>
    <x v="1"/>
    <s v="Nurse Kelly"/>
    <x v="2"/>
    <n v="12"/>
    <s v="Extended"/>
  </r>
  <r>
    <x v="17"/>
    <x v="17"/>
    <n v="62"/>
    <x v="1"/>
    <d v="2024-07-30T00:00:00"/>
    <d v="2024-08-07T00:00:00"/>
    <x v="1"/>
    <x v="4"/>
    <n v="2496"/>
    <x v="0"/>
    <x v="2"/>
    <s v="Nurse Zoe"/>
    <x v="0"/>
    <n v="8"/>
    <s v="Extended"/>
  </r>
  <r>
    <x v="18"/>
    <x v="18"/>
    <n v="35"/>
    <x v="0"/>
    <d v="2025-04-29T00:00:00"/>
    <d v="2025-05-06T00:00:00"/>
    <x v="3"/>
    <x v="7"/>
    <n v="3978"/>
    <x v="0"/>
    <x v="1"/>
    <s v="Nurse Mia"/>
    <x v="2"/>
    <n v="7"/>
    <s v="Extended"/>
  </r>
  <r>
    <x v="19"/>
    <x v="19"/>
    <n v="17"/>
    <x v="0"/>
    <d v="2024-12-28T00:00:00"/>
    <d v="2024-12-30T00:00:00"/>
    <x v="1"/>
    <x v="9"/>
    <n v="2013"/>
    <x v="0"/>
    <x v="3"/>
    <s v="Nurse Kelly"/>
    <x v="2"/>
    <n v="2"/>
    <s v="Normal"/>
  </r>
  <r>
    <x v="20"/>
    <x v="20"/>
    <n v="66"/>
    <x v="1"/>
    <d v="2025-05-27T00:00:00"/>
    <d v="2025-06-10T00:00:00"/>
    <x v="0"/>
    <x v="8"/>
    <n v="3419"/>
    <x v="1"/>
    <x v="2"/>
    <s v="Nurse Allen"/>
    <x v="1"/>
    <n v="14"/>
    <s v="Extended"/>
  </r>
  <r>
    <x v="21"/>
    <x v="21"/>
    <n v="8"/>
    <x v="0"/>
    <d v="2025-01-20T00:00:00"/>
    <d v="2025-02-01T00:00:00"/>
    <x v="6"/>
    <x v="1"/>
    <n v="7833"/>
    <x v="1"/>
    <x v="0"/>
    <s v="Nurse Kelly"/>
    <x v="1"/>
    <n v="12"/>
    <s v="Extended"/>
  </r>
  <r>
    <x v="22"/>
    <x v="22"/>
    <n v="72"/>
    <x v="1"/>
    <d v="2024-12-09T00:00:00"/>
    <d v="2024-12-15T00:00:00"/>
    <x v="2"/>
    <x v="0"/>
    <n v="6495"/>
    <x v="1"/>
    <x v="5"/>
    <s v="Nurse John"/>
    <x v="0"/>
    <n v="6"/>
    <s v="Extended"/>
  </r>
  <r>
    <x v="23"/>
    <x v="23"/>
    <n v="1"/>
    <x v="1"/>
    <d v="2025-05-04T00:00:00"/>
    <d v="2025-05-05T00:00:00"/>
    <x v="6"/>
    <x v="1"/>
    <n v="8562"/>
    <x v="1"/>
    <x v="5"/>
    <s v="Nurse Zoe"/>
    <x v="0"/>
    <n v="1"/>
    <s v="Normal"/>
  </r>
  <r>
    <x v="24"/>
    <x v="24"/>
    <n v="83"/>
    <x v="0"/>
    <d v="2024-09-01T00:00:00"/>
    <d v="2024-09-08T00:00:00"/>
    <x v="1"/>
    <x v="0"/>
    <n v="3661"/>
    <x v="0"/>
    <x v="0"/>
    <s v="Nurse John"/>
    <x v="1"/>
    <n v="7"/>
    <s v="Extended"/>
  </r>
  <r>
    <x v="25"/>
    <x v="25"/>
    <n v="81"/>
    <x v="0"/>
    <d v="2025-03-12T00:00:00"/>
    <d v="2025-03-23T00:00:00"/>
    <x v="4"/>
    <x v="0"/>
    <n v="6113"/>
    <x v="0"/>
    <x v="5"/>
    <s v="Nurse Allen"/>
    <x v="2"/>
    <n v="11"/>
    <s v="Extended"/>
  </r>
  <r>
    <x v="26"/>
    <x v="26"/>
    <n v="39"/>
    <x v="0"/>
    <d v="2024-10-23T00:00:00"/>
    <d v="2024-11-04T00:00:00"/>
    <x v="5"/>
    <x v="5"/>
    <n v="5590"/>
    <x v="0"/>
    <x v="4"/>
    <s v="Nurse Kelly"/>
    <x v="1"/>
    <n v="12"/>
    <s v="Extended"/>
  </r>
  <r>
    <x v="27"/>
    <x v="27"/>
    <n v="77"/>
    <x v="1"/>
    <d v="2024-12-08T00:00:00"/>
    <d v="2024-12-19T00:00:00"/>
    <x v="0"/>
    <x v="9"/>
    <n v="5040"/>
    <x v="1"/>
    <x v="1"/>
    <s v="Nurse John"/>
    <x v="0"/>
    <n v="11"/>
    <s v="Extended"/>
  </r>
  <r>
    <x v="28"/>
    <x v="28"/>
    <n v="26"/>
    <x v="0"/>
    <d v="2025-03-24T00:00:00"/>
    <d v="2025-04-07T00:00:00"/>
    <x v="2"/>
    <x v="4"/>
    <n v="5678"/>
    <x v="0"/>
    <x v="5"/>
    <s v="Nurse Rita"/>
    <x v="2"/>
    <n v="14"/>
    <s v="Extended"/>
  </r>
  <r>
    <x v="29"/>
    <x v="29"/>
    <n v="43"/>
    <x v="0"/>
    <d v="2024-07-29T00:00:00"/>
    <d v="2024-08-01T00:00:00"/>
    <x v="0"/>
    <x v="3"/>
    <n v="1087"/>
    <x v="0"/>
    <x v="1"/>
    <s v="Nurse Mia"/>
    <x v="1"/>
    <n v="3"/>
    <s v="Normal"/>
  </r>
  <r>
    <x v="30"/>
    <x v="30"/>
    <n v="27"/>
    <x v="0"/>
    <d v="2024-07-28T00:00:00"/>
    <d v="2024-08-09T00:00:00"/>
    <x v="6"/>
    <x v="2"/>
    <n v="6948"/>
    <x v="1"/>
    <x v="0"/>
    <s v="Nurse Rita"/>
    <x v="0"/>
    <n v="12"/>
    <s v="Extended"/>
  </r>
  <r>
    <x v="31"/>
    <x v="31"/>
    <n v="56"/>
    <x v="1"/>
    <d v="2025-04-13T00:00:00"/>
    <d v="2025-04-24T00:00:00"/>
    <x v="4"/>
    <x v="2"/>
    <n v="6791"/>
    <x v="0"/>
    <x v="1"/>
    <s v="Nurse Mia"/>
    <x v="1"/>
    <n v="11"/>
    <s v="Extended"/>
  </r>
  <r>
    <x v="32"/>
    <x v="32"/>
    <n v="75"/>
    <x v="1"/>
    <d v="2025-05-19T00:00:00"/>
    <d v="2025-05-22T00:00:00"/>
    <x v="2"/>
    <x v="8"/>
    <n v="2702"/>
    <x v="1"/>
    <x v="5"/>
    <s v="Nurse Mia"/>
    <x v="1"/>
    <n v="3"/>
    <s v="Normal"/>
  </r>
  <r>
    <x v="33"/>
    <x v="33"/>
    <n v="54"/>
    <x v="1"/>
    <d v="2024-05-30T00:00:00"/>
    <d v="2024-06-02T00:00:00"/>
    <x v="4"/>
    <x v="8"/>
    <n v="4844"/>
    <x v="0"/>
    <x v="1"/>
    <s v="Nurse Lisa"/>
    <x v="2"/>
    <n v="3"/>
    <s v="Normal"/>
  </r>
  <r>
    <x v="34"/>
    <x v="34"/>
    <n v="28"/>
    <x v="0"/>
    <d v="2024-12-25T00:00:00"/>
    <d v="2024-12-29T00:00:00"/>
    <x v="6"/>
    <x v="0"/>
    <n v="7684"/>
    <x v="0"/>
    <x v="0"/>
    <s v="Nurse Allen"/>
    <x v="0"/>
    <n v="4"/>
    <s v="Extended"/>
  </r>
  <r>
    <x v="35"/>
    <x v="35"/>
    <n v="56"/>
    <x v="0"/>
    <d v="2024-07-10T00:00:00"/>
    <d v="2024-07-20T00:00:00"/>
    <x v="1"/>
    <x v="6"/>
    <n v="1373"/>
    <x v="0"/>
    <x v="5"/>
    <s v="Nurse Allen"/>
    <x v="2"/>
    <n v="10"/>
    <s v="Extended"/>
  </r>
  <r>
    <x v="36"/>
    <x v="36"/>
    <n v="86"/>
    <x v="1"/>
    <d v="2024-12-30T00:00:00"/>
    <d v="2024-12-31T00:00:00"/>
    <x v="1"/>
    <x v="4"/>
    <n v="7064"/>
    <x v="0"/>
    <x v="2"/>
    <s v="Nurse Rita"/>
    <x v="2"/>
    <n v="1"/>
    <s v="Normal"/>
  </r>
  <r>
    <x v="37"/>
    <x v="37"/>
    <n v="34"/>
    <x v="1"/>
    <d v="2024-10-19T00:00:00"/>
    <d v="2024-10-31T00:00:00"/>
    <x v="3"/>
    <x v="4"/>
    <n v="5793"/>
    <x v="0"/>
    <x v="5"/>
    <s v="Nurse John"/>
    <x v="0"/>
    <n v="12"/>
    <s v="Extended"/>
  </r>
  <r>
    <x v="38"/>
    <x v="38"/>
    <n v="65"/>
    <x v="0"/>
    <d v="2025-02-19T00:00:00"/>
    <d v="2025-02-21T00:00:00"/>
    <x v="2"/>
    <x v="5"/>
    <n v="7535"/>
    <x v="1"/>
    <x v="1"/>
    <s v="Nurse Allen"/>
    <x v="2"/>
    <n v="2"/>
    <s v="Normal"/>
  </r>
  <r>
    <x v="39"/>
    <x v="39"/>
    <n v="16"/>
    <x v="0"/>
    <d v="2024-09-03T00:00:00"/>
    <d v="2024-09-08T00:00:00"/>
    <x v="6"/>
    <x v="1"/>
    <n v="7892"/>
    <x v="1"/>
    <x v="4"/>
    <s v="Nurse Lisa"/>
    <x v="2"/>
    <n v="5"/>
    <s v="Extended"/>
  </r>
  <r>
    <x v="40"/>
    <x v="40"/>
    <n v="75"/>
    <x v="0"/>
    <d v="2024-07-05T00:00:00"/>
    <d v="2024-07-17T00:00:00"/>
    <x v="2"/>
    <x v="4"/>
    <n v="2989"/>
    <x v="1"/>
    <x v="6"/>
    <s v="Nurse John"/>
    <x v="2"/>
    <n v="12"/>
    <s v="Extended"/>
  </r>
  <r>
    <x v="41"/>
    <x v="41"/>
    <n v="20"/>
    <x v="0"/>
    <d v="2025-01-27T00:00:00"/>
    <d v="2025-02-03T00:00:00"/>
    <x v="6"/>
    <x v="1"/>
    <n v="1105"/>
    <x v="1"/>
    <x v="3"/>
    <s v="Nurse Mia"/>
    <x v="0"/>
    <n v="7"/>
    <s v="Extended"/>
  </r>
  <r>
    <x v="42"/>
    <x v="42"/>
    <n v="27"/>
    <x v="1"/>
    <d v="2024-08-30T00:00:00"/>
    <d v="2024-09-03T00:00:00"/>
    <x v="2"/>
    <x v="4"/>
    <n v="8047"/>
    <x v="0"/>
    <x v="0"/>
    <s v="Nurse Kelly"/>
    <x v="2"/>
    <n v="4"/>
    <s v="Extended"/>
  </r>
  <r>
    <x v="43"/>
    <x v="43"/>
    <n v="86"/>
    <x v="0"/>
    <d v="2024-11-13T00:00:00"/>
    <d v="2024-11-24T00:00:00"/>
    <x v="2"/>
    <x v="0"/>
    <n v="6434"/>
    <x v="0"/>
    <x v="6"/>
    <s v="Nurse John"/>
    <x v="2"/>
    <n v="11"/>
    <s v="Extended"/>
  </r>
  <r>
    <x v="44"/>
    <x v="44"/>
    <n v="83"/>
    <x v="0"/>
    <d v="2024-12-24T00:00:00"/>
    <d v="2024-12-27T00:00:00"/>
    <x v="1"/>
    <x v="4"/>
    <n v="4500"/>
    <x v="1"/>
    <x v="4"/>
    <s v="Nurse Zoe"/>
    <x v="0"/>
    <n v="3"/>
    <s v="Normal"/>
  </r>
  <r>
    <x v="45"/>
    <x v="45"/>
    <n v="82"/>
    <x v="1"/>
    <d v="2025-03-27T00:00:00"/>
    <d v="2025-04-10T00:00:00"/>
    <x v="0"/>
    <x v="4"/>
    <n v="5295"/>
    <x v="1"/>
    <x v="2"/>
    <s v="Nurse Lisa"/>
    <x v="1"/>
    <n v="14"/>
    <s v="Extended"/>
  </r>
  <r>
    <x v="46"/>
    <x v="46"/>
    <n v="19"/>
    <x v="0"/>
    <d v="2024-07-01T00:00:00"/>
    <d v="2024-07-07T00:00:00"/>
    <x v="3"/>
    <x v="1"/>
    <n v="5872"/>
    <x v="0"/>
    <x v="5"/>
    <s v="Nurse Kelly"/>
    <x v="0"/>
    <n v="6"/>
    <s v="Extended"/>
  </r>
  <r>
    <x v="47"/>
    <x v="47"/>
    <n v="22"/>
    <x v="1"/>
    <d v="2024-06-10T00:00:00"/>
    <d v="2024-06-22T00:00:00"/>
    <x v="6"/>
    <x v="2"/>
    <n v="1934"/>
    <x v="1"/>
    <x v="6"/>
    <s v="Nurse Zoe"/>
    <x v="2"/>
    <n v="12"/>
    <s v="Extended"/>
  </r>
  <r>
    <x v="48"/>
    <x v="48"/>
    <n v="48"/>
    <x v="1"/>
    <d v="2025-04-17T00:00:00"/>
    <d v="2025-04-22T00:00:00"/>
    <x v="4"/>
    <x v="9"/>
    <n v="9854"/>
    <x v="1"/>
    <x v="6"/>
    <s v="Nurse Allen"/>
    <x v="1"/>
    <n v="5"/>
    <s v="Extended"/>
  </r>
  <r>
    <x v="49"/>
    <x v="49"/>
    <n v="11"/>
    <x v="0"/>
    <d v="2025-02-26T00:00:00"/>
    <d v="2025-03-09T00:00:00"/>
    <x v="6"/>
    <x v="3"/>
    <n v="9956"/>
    <x v="0"/>
    <x v="5"/>
    <s v="Nurse Rita"/>
    <x v="1"/>
    <n v="11"/>
    <s v="Extended"/>
  </r>
  <r>
    <x v="50"/>
    <x v="50"/>
    <n v="83"/>
    <x v="0"/>
    <d v="2024-11-07T00:00:00"/>
    <d v="2024-11-12T00:00:00"/>
    <x v="1"/>
    <x v="0"/>
    <n v="7149"/>
    <x v="1"/>
    <x v="0"/>
    <s v="Nurse Zoe"/>
    <x v="1"/>
    <n v="5"/>
    <s v="Extended"/>
  </r>
  <r>
    <x v="51"/>
    <x v="51"/>
    <n v="22"/>
    <x v="0"/>
    <d v="2025-02-04T00:00:00"/>
    <d v="2025-02-09T00:00:00"/>
    <x v="2"/>
    <x v="2"/>
    <n v="1138"/>
    <x v="1"/>
    <x v="2"/>
    <s v="Nurse Lisa"/>
    <x v="0"/>
    <n v="5"/>
    <s v="Extended"/>
  </r>
  <r>
    <x v="52"/>
    <x v="52"/>
    <n v="35"/>
    <x v="0"/>
    <d v="2025-05-28T00:00:00"/>
    <d v="2025-06-08T00:00:00"/>
    <x v="0"/>
    <x v="5"/>
    <n v="8534"/>
    <x v="1"/>
    <x v="3"/>
    <s v="Nurse Lisa"/>
    <x v="0"/>
    <n v="11"/>
    <s v="Extended"/>
  </r>
  <r>
    <x v="53"/>
    <x v="53"/>
    <n v="24"/>
    <x v="0"/>
    <d v="2024-12-15T00:00:00"/>
    <d v="2024-12-23T00:00:00"/>
    <x v="2"/>
    <x v="1"/>
    <n v="3956"/>
    <x v="0"/>
    <x v="4"/>
    <s v="Nurse Zoe"/>
    <x v="0"/>
    <n v="8"/>
    <s v="Extended"/>
  </r>
  <r>
    <x v="54"/>
    <x v="54"/>
    <n v="12"/>
    <x v="0"/>
    <d v="2025-02-06T00:00:00"/>
    <d v="2025-02-14T00:00:00"/>
    <x v="1"/>
    <x v="0"/>
    <n v="4793"/>
    <x v="1"/>
    <x v="6"/>
    <s v="Nurse Zoe"/>
    <x v="1"/>
    <n v="8"/>
    <s v="Extended"/>
  </r>
  <r>
    <x v="55"/>
    <x v="55"/>
    <n v="11"/>
    <x v="1"/>
    <d v="2024-12-28T00:00:00"/>
    <d v="2025-01-03T00:00:00"/>
    <x v="3"/>
    <x v="1"/>
    <n v="5410"/>
    <x v="1"/>
    <x v="0"/>
    <s v="Nurse Kelly"/>
    <x v="1"/>
    <n v="6"/>
    <s v="Extended"/>
  </r>
  <r>
    <x v="56"/>
    <x v="56"/>
    <n v="43"/>
    <x v="0"/>
    <d v="2024-11-30T00:00:00"/>
    <d v="2024-12-08T00:00:00"/>
    <x v="3"/>
    <x v="2"/>
    <n v="9682"/>
    <x v="1"/>
    <x v="0"/>
    <s v="Nurse Rita"/>
    <x v="1"/>
    <n v="8"/>
    <s v="Extended"/>
  </r>
  <r>
    <x v="57"/>
    <x v="57"/>
    <n v="50"/>
    <x v="1"/>
    <d v="2025-05-18T00:00:00"/>
    <d v="2025-05-29T00:00:00"/>
    <x v="3"/>
    <x v="0"/>
    <n v="2459"/>
    <x v="0"/>
    <x v="6"/>
    <s v="Nurse Kelly"/>
    <x v="2"/>
    <n v="11"/>
    <s v="Extended"/>
  </r>
  <r>
    <x v="58"/>
    <x v="58"/>
    <n v="75"/>
    <x v="1"/>
    <d v="2024-08-27T00:00:00"/>
    <d v="2024-09-10T00:00:00"/>
    <x v="2"/>
    <x v="7"/>
    <n v="2035"/>
    <x v="1"/>
    <x v="3"/>
    <s v="Nurse Zoe"/>
    <x v="0"/>
    <n v="14"/>
    <s v="Extended"/>
  </r>
  <r>
    <x v="59"/>
    <x v="59"/>
    <n v="49"/>
    <x v="0"/>
    <d v="2024-11-25T00:00:00"/>
    <d v="2024-12-06T00:00:00"/>
    <x v="3"/>
    <x v="8"/>
    <n v="9304"/>
    <x v="1"/>
    <x v="2"/>
    <s v="Nurse Rita"/>
    <x v="0"/>
    <n v="11"/>
    <s v="Extended"/>
  </r>
  <r>
    <x v="60"/>
    <x v="60"/>
    <n v="6"/>
    <x v="1"/>
    <d v="2025-01-23T00:00:00"/>
    <d v="2025-02-05T00:00:00"/>
    <x v="4"/>
    <x v="4"/>
    <n v="3760"/>
    <x v="0"/>
    <x v="0"/>
    <s v="Nurse Zoe"/>
    <x v="1"/>
    <n v="13"/>
    <s v="Extended"/>
  </r>
  <r>
    <x v="61"/>
    <x v="61"/>
    <n v="14"/>
    <x v="0"/>
    <d v="2024-09-12T00:00:00"/>
    <d v="2024-09-14T00:00:00"/>
    <x v="6"/>
    <x v="9"/>
    <n v="4181"/>
    <x v="0"/>
    <x v="4"/>
    <s v="Nurse Zoe"/>
    <x v="2"/>
    <n v="2"/>
    <s v="Normal"/>
  </r>
  <r>
    <x v="62"/>
    <x v="62"/>
    <n v="59"/>
    <x v="1"/>
    <d v="2025-02-06T00:00:00"/>
    <d v="2025-02-16T00:00:00"/>
    <x v="2"/>
    <x v="2"/>
    <n v="2952"/>
    <x v="0"/>
    <x v="2"/>
    <s v="Nurse Zoe"/>
    <x v="0"/>
    <n v="10"/>
    <s v="Extended"/>
  </r>
  <r>
    <x v="63"/>
    <x v="63"/>
    <n v="52"/>
    <x v="0"/>
    <d v="2025-03-11T00:00:00"/>
    <d v="2025-03-13T00:00:00"/>
    <x v="3"/>
    <x v="1"/>
    <n v="3265"/>
    <x v="1"/>
    <x v="3"/>
    <s v="Nurse Zoe"/>
    <x v="2"/>
    <n v="2"/>
    <s v="Normal"/>
  </r>
  <r>
    <x v="64"/>
    <x v="64"/>
    <n v="53"/>
    <x v="1"/>
    <d v="2024-09-03T00:00:00"/>
    <d v="2024-09-15T00:00:00"/>
    <x v="1"/>
    <x v="2"/>
    <n v="9007"/>
    <x v="0"/>
    <x v="2"/>
    <s v="Nurse John"/>
    <x v="2"/>
    <n v="12"/>
    <s v="Extended"/>
  </r>
  <r>
    <x v="65"/>
    <x v="65"/>
    <n v="78"/>
    <x v="0"/>
    <d v="2025-04-08T00:00:00"/>
    <d v="2025-04-15T00:00:00"/>
    <x v="2"/>
    <x v="2"/>
    <n v="5020"/>
    <x v="0"/>
    <x v="5"/>
    <s v="Nurse John"/>
    <x v="1"/>
    <n v="7"/>
    <s v="Extended"/>
  </r>
  <r>
    <x v="66"/>
    <x v="66"/>
    <n v="41"/>
    <x v="1"/>
    <d v="2024-11-19T00:00:00"/>
    <d v="2024-11-29T00:00:00"/>
    <x v="0"/>
    <x v="1"/>
    <n v="8939"/>
    <x v="1"/>
    <x v="4"/>
    <s v="Nurse Kelly"/>
    <x v="1"/>
    <n v="10"/>
    <s v="Extended"/>
  </r>
  <r>
    <x v="67"/>
    <x v="67"/>
    <n v="74"/>
    <x v="0"/>
    <d v="2025-03-22T00:00:00"/>
    <d v="2025-03-25T00:00:00"/>
    <x v="5"/>
    <x v="9"/>
    <n v="2544"/>
    <x v="0"/>
    <x v="5"/>
    <s v="Nurse Allen"/>
    <x v="2"/>
    <n v="3"/>
    <s v="Normal"/>
  </r>
  <r>
    <x v="68"/>
    <x v="68"/>
    <n v="82"/>
    <x v="1"/>
    <d v="2025-01-09T00:00:00"/>
    <d v="2025-01-19T00:00:00"/>
    <x v="0"/>
    <x v="4"/>
    <n v="3583"/>
    <x v="0"/>
    <x v="4"/>
    <s v="Nurse Zoe"/>
    <x v="0"/>
    <n v="10"/>
    <s v="Extended"/>
  </r>
  <r>
    <x v="69"/>
    <x v="69"/>
    <n v="4"/>
    <x v="0"/>
    <d v="2024-11-03T00:00:00"/>
    <d v="2024-11-04T00:00:00"/>
    <x v="3"/>
    <x v="6"/>
    <n v="4842"/>
    <x v="1"/>
    <x v="4"/>
    <s v="Nurse Lisa"/>
    <x v="0"/>
    <n v="1"/>
    <s v="Normal"/>
  </r>
  <r>
    <x v="70"/>
    <x v="70"/>
    <n v="90"/>
    <x v="0"/>
    <d v="2025-04-02T00:00:00"/>
    <d v="2025-04-14T00:00:00"/>
    <x v="0"/>
    <x v="7"/>
    <n v="9419"/>
    <x v="0"/>
    <x v="0"/>
    <s v="Nurse John"/>
    <x v="1"/>
    <n v="12"/>
    <s v="Extended"/>
  </r>
  <r>
    <x v="71"/>
    <x v="71"/>
    <n v="86"/>
    <x v="0"/>
    <d v="2025-04-20T00:00:00"/>
    <d v="2025-04-21T00:00:00"/>
    <x v="4"/>
    <x v="3"/>
    <n v="3902"/>
    <x v="0"/>
    <x v="4"/>
    <s v="Nurse Mia"/>
    <x v="0"/>
    <n v="1"/>
    <s v="Normal"/>
  </r>
  <r>
    <x v="72"/>
    <x v="72"/>
    <n v="4"/>
    <x v="1"/>
    <d v="2024-08-16T00:00:00"/>
    <d v="2024-08-25T00:00:00"/>
    <x v="4"/>
    <x v="1"/>
    <n v="5137"/>
    <x v="0"/>
    <x v="3"/>
    <s v="Nurse Rita"/>
    <x v="2"/>
    <n v="9"/>
    <s v="Extended"/>
  </r>
  <r>
    <x v="73"/>
    <x v="73"/>
    <n v="44"/>
    <x v="1"/>
    <d v="2024-07-06T00:00:00"/>
    <d v="2024-07-15T00:00:00"/>
    <x v="0"/>
    <x v="1"/>
    <n v="6409"/>
    <x v="0"/>
    <x v="6"/>
    <s v="Nurse Lisa"/>
    <x v="2"/>
    <n v="9"/>
    <s v="Extended"/>
  </r>
  <r>
    <x v="74"/>
    <x v="74"/>
    <n v="10"/>
    <x v="0"/>
    <d v="2024-08-18T00:00:00"/>
    <d v="2024-08-27T00:00:00"/>
    <x v="2"/>
    <x v="7"/>
    <n v="6262"/>
    <x v="0"/>
    <x v="1"/>
    <s v="Nurse Zoe"/>
    <x v="2"/>
    <n v="9"/>
    <s v="Extended"/>
  </r>
  <r>
    <x v="75"/>
    <x v="75"/>
    <n v="37"/>
    <x v="1"/>
    <d v="2025-02-28T00:00:00"/>
    <d v="2025-03-10T00:00:00"/>
    <x v="1"/>
    <x v="0"/>
    <n v="1317"/>
    <x v="0"/>
    <x v="1"/>
    <s v="Nurse Kelly"/>
    <x v="1"/>
    <n v="10"/>
    <s v="Extended"/>
  </r>
  <r>
    <x v="76"/>
    <x v="76"/>
    <n v="10"/>
    <x v="1"/>
    <d v="2024-12-14T00:00:00"/>
    <d v="2024-12-17T00:00:00"/>
    <x v="6"/>
    <x v="4"/>
    <n v="3064"/>
    <x v="1"/>
    <x v="2"/>
    <s v="Nurse Mia"/>
    <x v="0"/>
    <n v="3"/>
    <s v="Normal"/>
  </r>
  <r>
    <x v="77"/>
    <x v="77"/>
    <n v="18"/>
    <x v="0"/>
    <d v="2024-07-17T00:00:00"/>
    <d v="2024-07-21T00:00:00"/>
    <x v="5"/>
    <x v="4"/>
    <n v="2617"/>
    <x v="1"/>
    <x v="2"/>
    <s v="Nurse Allen"/>
    <x v="1"/>
    <n v="4"/>
    <s v="Extended"/>
  </r>
  <r>
    <x v="78"/>
    <x v="78"/>
    <n v="25"/>
    <x v="0"/>
    <d v="2024-08-03T00:00:00"/>
    <d v="2024-08-08T00:00:00"/>
    <x v="6"/>
    <x v="5"/>
    <n v="6109"/>
    <x v="0"/>
    <x v="4"/>
    <s v="Nurse John"/>
    <x v="2"/>
    <n v="5"/>
    <s v="Extended"/>
  </r>
  <r>
    <x v="79"/>
    <x v="79"/>
    <n v="62"/>
    <x v="0"/>
    <d v="2024-09-16T00:00:00"/>
    <d v="2024-09-26T00:00:00"/>
    <x v="0"/>
    <x v="0"/>
    <n v="6267"/>
    <x v="1"/>
    <x v="6"/>
    <s v="Nurse Allen"/>
    <x v="1"/>
    <n v="10"/>
    <s v="Extended"/>
  </r>
  <r>
    <x v="80"/>
    <x v="80"/>
    <n v="77"/>
    <x v="0"/>
    <d v="2024-09-17T00:00:00"/>
    <d v="2024-09-25T00:00:00"/>
    <x v="4"/>
    <x v="2"/>
    <n v="6569"/>
    <x v="1"/>
    <x v="1"/>
    <s v="Nurse Rita"/>
    <x v="0"/>
    <n v="8"/>
    <s v="Extended"/>
  </r>
  <r>
    <x v="81"/>
    <x v="81"/>
    <n v="72"/>
    <x v="1"/>
    <d v="2024-07-24T00:00:00"/>
    <d v="2024-08-07T00:00:00"/>
    <x v="4"/>
    <x v="1"/>
    <n v="5988"/>
    <x v="1"/>
    <x v="1"/>
    <s v="Nurse Rita"/>
    <x v="0"/>
    <n v="14"/>
    <s v="Extended"/>
  </r>
  <r>
    <x v="82"/>
    <x v="82"/>
    <n v="9"/>
    <x v="1"/>
    <d v="2025-05-21T00:00:00"/>
    <d v="2025-05-30T00:00:00"/>
    <x v="3"/>
    <x v="0"/>
    <n v="6040"/>
    <x v="0"/>
    <x v="6"/>
    <s v="Nurse Zoe"/>
    <x v="0"/>
    <n v="9"/>
    <s v="Extended"/>
  </r>
  <r>
    <x v="83"/>
    <x v="83"/>
    <n v="30"/>
    <x v="1"/>
    <d v="2024-08-21T00:00:00"/>
    <d v="2024-08-28T00:00:00"/>
    <x v="5"/>
    <x v="7"/>
    <n v="5682"/>
    <x v="0"/>
    <x v="5"/>
    <s v="Nurse John"/>
    <x v="2"/>
    <n v="7"/>
    <s v="Extended"/>
  </r>
  <r>
    <x v="84"/>
    <x v="84"/>
    <n v="67"/>
    <x v="0"/>
    <d v="2025-02-01T00:00:00"/>
    <d v="2025-02-04T00:00:00"/>
    <x v="2"/>
    <x v="3"/>
    <n v="7521"/>
    <x v="0"/>
    <x v="5"/>
    <s v="Nurse Mia"/>
    <x v="0"/>
    <n v="3"/>
    <s v="Normal"/>
  </r>
  <r>
    <x v="85"/>
    <x v="85"/>
    <n v="52"/>
    <x v="1"/>
    <d v="2025-03-10T00:00:00"/>
    <d v="2025-03-15T00:00:00"/>
    <x v="3"/>
    <x v="8"/>
    <n v="9722"/>
    <x v="1"/>
    <x v="5"/>
    <s v="Nurse John"/>
    <x v="2"/>
    <n v="5"/>
    <s v="Extended"/>
  </r>
  <r>
    <x v="86"/>
    <x v="86"/>
    <n v="49"/>
    <x v="0"/>
    <d v="2024-12-09T00:00:00"/>
    <d v="2024-12-22T00:00:00"/>
    <x v="0"/>
    <x v="1"/>
    <n v="7081"/>
    <x v="0"/>
    <x v="3"/>
    <s v="Nurse Zoe"/>
    <x v="2"/>
    <n v="13"/>
    <s v="Extended"/>
  </r>
  <r>
    <x v="87"/>
    <x v="87"/>
    <n v="89"/>
    <x v="1"/>
    <d v="2025-02-19T00:00:00"/>
    <d v="2025-02-21T00:00:00"/>
    <x v="1"/>
    <x v="4"/>
    <n v="6791"/>
    <x v="1"/>
    <x v="2"/>
    <s v="Nurse Zoe"/>
    <x v="0"/>
    <n v="2"/>
    <s v="Normal"/>
  </r>
  <r>
    <x v="88"/>
    <x v="88"/>
    <n v="75"/>
    <x v="0"/>
    <d v="2025-03-10T00:00:00"/>
    <d v="2025-03-23T00:00:00"/>
    <x v="6"/>
    <x v="7"/>
    <n v="6443"/>
    <x v="0"/>
    <x v="2"/>
    <s v="Nurse Rita"/>
    <x v="0"/>
    <n v="13"/>
    <s v="Extended"/>
  </r>
  <r>
    <x v="89"/>
    <x v="89"/>
    <n v="77"/>
    <x v="1"/>
    <d v="2025-04-09T00:00:00"/>
    <d v="2025-04-16T00:00:00"/>
    <x v="6"/>
    <x v="0"/>
    <n v="8651"/>
    <x v="1"/>
    <x v="5"/>
    <s v="Nurse Kelly"/>
    <x v="0"/>
    <n v="7"/>
    <s v="Extended"/>
  </r>
  <r>
    <x v="90"/>
    <x v="90"/>
    <n v="69"/>
    <x v="0"/>
    <d v="2024-11-03T00:00:00"/>
    <d v="2024-11-10T00:00:00"/>
    <x v="6"/>
    <x v="2"/>
    <n v="7828"/>
    <x v="1"/>
    <x v="5"/>
    <s v="Nurse Kelly"/>
    <x v="0"/>
    <n v="7"/>
    <s v="Extended"/>
  </r>
  <r>
    <x v="91"/>
    <x v="91"/>
    <n v="19"/>
    <x v="1"/>
    <d v="2025-03-26T00:00:00"/>
    <d v="2025-04-03T00:00:00"/>
    <x v="3"/>
    <x v="8"/>
    <n v="9772"/>
    <x v="1"/>
    <x v="2"/>
    <s v="Nurse Mia"/>
    <x v="2"/>
    <n v="8"/>
    <s v="Extended"/>
  </r>
  <r>
    <x v="92"/>
    <x v="92"/>
    <n v="80"/>
    <x v="1"/>
    <d v="2024-08-16T00:00:00"/>
    <d v="2024-08-24T00:00:00"/>
    <x v="5"/>
    <x v="0"/>
    <n v="1750"/>
    <x v="1"/>
    <x v="0"/>
    <s v="Nurse John"/>
    <x v="2"/>
    <n v="8"/>
    <s v="Extended"/>
  </r>
  <r>
    <x v="93"/>
    <x v="93"/>
    <n v="57"/>
    <x v="0"/>
    <d v="2025-03-10T00:00:00"/>
    <d v="2025-03-21T00:00:00"/>
    <x v="6"/>
    <x v="8"/>
    <n v="9164"/>
    <x v="1"/>
    <x v="6"/>
    <s v="Nurse Allen"/>
    <x v="2"/>
    <n v="11"/>
    <s v="Extended"/>
  </r>
  <r>
    <x v="94"/>
    <x v="94"/>
    <n v="30"/>
    <x v="1"/>
    <d v="2024-09-30T00:00:00"/>
    <d v="2024-10-13T00:00:00"/>
    <x v="3"/>
    <x v="5"/>
    <n v="5831"/>
    <x v="1"/>
    <x v="2"/>
    <s v="Nurse John"/>
    <x v="1"/>
    <n v="13"/>
    <s v="Extended"/>
  </r>
  <r>
    <x v="95"/>
    <x v="95"/>
    <n v="30"/>
    <x v="0"/>
    <d v="2025-02-23T00:00:00"/>
    <d v="2025-03-09T00:00:00"/>
    <x v="1"/>
    <x v="4"/>
    <n v="1430"/>
    <x v="0"/>
    <x v="0"/>
    <s v="Nurse John"/>
    <x v="0"/>
    <n v="14"/>
    <s v="Extended"/>
  </r>
  <r>
    <x v="96"/>
    <x v="96"/>
    <n v="24"/>
    <x v="0"/>
    <d v="2024-10-01T00:00:00"/>
    <d v="2024-10-07T00:00:00"/>
    <x v="3"/>
    <x v="8"/>
    <n v="8641"/>
    <x v="0"/>
    <x v="1"/>
    <s v="Nurse Zoe"/>
    <x v="1"/>
    <n v="6"/>
    <s v="Extended"/>
  </r>
  <r>
    <x v="97"/>
    <x v="97"/>
    <n v="45"/>
    <x v="1"/>
    <d v="2025-03-17T00:00:00"/>
    <d v="2025-03-27T00:00:00"/>
    <x v="3"/>
    <x v="9"/>
    <n v="6565"/>
    <x v="1"/>
    <x v="3"/>
    <s v="Nurse Lisa"/>
    <x v="2"/>
    <n v="10"/>
    <s v="Extended"/>
  </r>
  <r>
    <x v="98"/>
    <x v="98"/>
    <n v="8"/>
    <x v="1"/>
    <d v="2024-10-20T00:00:00"/>
    <d v="2024-10-26T00:00:00"/>
    <x v="4"/>
    <x v="7"/>
    <n v="7627"/>
    <x v="0"/>
    <x v="2"/>
    <s v="Nurse John"/>
    <x v="0"/>
    <n v="6"/>
    <s v="Extended"/>
  </r>
  <r>
    <x v="99"/>
    <x v="99"/>
    <n v="9"/>
    <x v="0"/>
    <d v="2024-09-11T00:00:00"/>
    <d v="2024-09-16T00:00:00"/>
    <x v="3"/>
    <x v="1"/>
    <n v="4541"/>
    <x v="0"/>
    <x v="6"/>
    <s v="Nurse Kelly"/>
    <x v="1"/>
    <n v="5"/>
    <s v="Extended"/>
  </r>
  <r>
    <x v="100"/>
    <x v="100"/>
    <n v="1"/>
    <x v="1"/>
    <d v="2024-09-03T00:00:00"/>
    <d v="2024-09-09T00:00:00"/>
    <x v="0"/>
    <x v="6"/>
    <n v="6335"/>
    <x v="0"/>
    <x v="4"/>
    <s v="Nurse Allen"/>
    <x v="2"/>
    <n v="6"/>
    <s v="Extended"/>
  </r>
  <r>
    <x v="101"/>
    <x v="101"/>
    <n v="40"/>
    <x v="0"/>
    <d v="2025-01-11T00:00:00"/>
    <d v="2025-01-20T00:00:00"/>
    <x v="0"/>
    <x v="3"/>
    <n v="6273"/>
    <x v="1"/>
    <x v="2"/>
    <s v="Nurse Rita"/>
    <x v="1"/>
    <n v="9"/>
    <s v="Extended"/>
  </r>
  <r>
    <x v="102"/>
    <x v="102"/>
    <n v="67"/>
    <x v="0"/>
    <d v="2024-07-05T00:00:00"/>
    <d v="2024-07-09T00:00:00"/>
    <x v="6"/>
    <x v="6"/>
    <n v="8658"/>
    <x v="1"/>
    <x v="5"/>
    <s v="Nurse Lisa"/>
    <x v="1"/>
    <n v="4"/>
    <s v="Extended"/>
  </r>
  <r>
    <x v="103"/>
    <x v="103"/>
    <n v="60"/>
    <x v="1"/>
    <d v="2025-04-09T00:00:00"/>
    <d v="2025-04-14T00:00:00"/>
    <x v="2"/>
    <x v="7"/>
    <n v="1451"/>
    <x v="1"/>
    <x v="5"/>
    <s v="Nurse Zoe"/>
    <x v="0"/>
    <n v="5"/>
    <s v="Extended"/>
  </r>
  <r>
    <x v="104"/>
    <x v="104"/>
    <n v="30"/>
    <x v="0"/>
    <d v="2025-02-15T00:00:00"/>
    <d v="2025-02-28T00:00:00"/>
    <x v="4"/>
    <x v="1"/>
    <n v="8513"/>
    <x v="0"/>
    <x v="5"/>
    <s v="Nurse Kelly"/>
    <x v="0"/>
    <n v="13"/>
    <s v="Extended"/>
  </r>
  <r>
    <x v="105"/>
    <x v="105"/>
    <n v="45"/>
    <x v="1"/>
    <d v="2024-11-27T00:00:00"/>
    <d v="2024-12-09T00:00:00"/>
    <x v="1"/>
    <x v="1"/>
    <n v="2886"/>
    <x v="1"/>
    <x v="5"/>
    <s v="Nurse Allen"/>
    <x v="0"/>
    <n v="12"/>
    <s v="Extended"/>
  </r>
  <r>
    <x v="106"/>
    <x v="106"/>
    <n v="59"/>
    <x v="0"/>
    <d v="2025-03-26T00:00:00"/>
    <d v="2025-04-05T00:00:00"/>
    <x v="0"/>
    <x v="2"/>
    <n v="6517"/>
    <x v="0"/>
    <x v="5"/>
    <s v="Nurse Kelly"/>
    <x v="0"/>
    <n v="10"/>
    <s v="Extended"/>
  </r>
  <r>
    <x v="107"/>
    <x v="107"/>
    <n v="67"/>
    <x v="0"/>
    <d v="2024-11-04T00:00:00"/>
    <d v="2024-11-17T00:00:00"/>
    <x v="5"/>
    <x v="4"/>
    <n v="4062"/>
    <x v="1"/>
    <x v="4"/>
    <s v="Nurse Lisa"/>
    <x v="2"/>
    <n v="13"/>
    <s v="Extended"/>
  </r>
  <r>
    <x v="108"/>
    <x v="108"/>
    <n v="42"/>
    <x v="0"/>
    <d v="2025-05-19T00:00:00"/>
    <d v="2025-05-31T00:00:00"/>
    <x v="6"/>
    <x v="2"/>
    <n v="3749"/>
    <x v="0"/>
    <x v="4"/>
    <s v="Nurse Lisa"/>
    <x v="1"/>
    <n v="12"/>
    <s v="Extended"/>
  </r>
  <r>
    <x v="109"/>
    <x v="109"/>
    <n v="80"/>
    <x v="0"/>
    <d v="2025-01-11T00:00:00"/>
    <d v="2025-01-15T00:00:00"/>
    <x v="2"/>
    <x v="9"/>
    <n v="3869"/>
    <x v="1"/>
    <x v="2"/>
    <s v="Nurse Zoe"/>
    <x v="1"/>
    <n v="4"/>
    <s v="Extended"/>
  </r>
  <r>
    <x v="110"/>
    <x v="110"/>
    <n v="65"/>
    <x v="1"/>
    <d v="2024-08-04T00:00:00"/>
    <d v="2024-08-12T00:00:00"/>
    <x v="1"/>
    <x v="4"/>
    <n v="5239"/>
    <x v="1"/>
    <x v="3"/>
    <s v="Nurse Allen"/>
    <x v="1"/>
    <n v="8"/>
    <s v="Extended"/>
  </r>
  <r>
    <x v="111"/>
    <x v="111"/>
    <n v="18"/>
    <x v="1"/>
    <d v="2024-09-24T00:00:00"/>
    <d v="2024-09-27T00:00:00"/>
    <x v="0"/>
    <x v="5"/>
    <n v="6357"/>
    <x v="1"/>
    <x v="1"/>
    <s v="Nurse Rita"/>
    <x v="1"/>
    <n v="3"/>
    <s v="Normal"/>
  </r>
  <r>
    <x v="112"/>
    <x v="112"/>
    <n v="90"/>
    <x v="1"/>
    <d v="2024-11-18T00:00:00"/>
    <d v="2024-11-19T00:00:00"/>
    <x v="5"/>
    <x v="8"/>
    <n v="6095"/>
    <x v="1"/>
    <x v="2"/>
    <s v="Nurse Allen"/>
    <x v="1"/>
    <n v="1"/>
    <s v="Normal"/>
  </r>
  <r>
    <x v="113"/>
    <x v="113"/>
    <n v="31"/>
    <x v="0"/>
    <d v="2025-02-26T00:00:00"/>
    <d v="2025-03-12T00:00:00"/>
    <x v="3"/>
    <x v="0"/>
    <n v="3007"/>
    <x v="1"/>
    <x v="4"/>
    <s v="Nurse Mia"/>
    <x v="1"/>
    <n v="14"/>
    <s v="Extended"/>
  </r>
  <r>
    <x v="114"/>
    <x v="114"/>
    <n v="14"/>
    <x v="0"/>
    <d v="2024-07-21T00:00:00"/>
    <d v="2024-08-02T00:00:00"/>
    <x v="2"/>
    <x v="4"/>
    <n v="5251"/>
    <x v="1"/>
    <x v="6"/>
    <s v="Nurse Kelly"/>
    <x v="1"/>
    <n v="12"/>
    <s v="Extended"/>
  </r>
  <r>
    <x v="115"/>
    <x v="115"/>
    <n v="12"/>
    <x v="0"/>
    <d v="2025-04-22T00:00:00"/>
    <d v="2025-05-02T00:00:00"/>
    <x v="2"/>
    <x v="2"/>
    <n v="1291"/>
    <x v="1"/>
    <x v="4"/>
    <s v="Nurse Lisa"/>
    <x v="0"/>
    <n v="10"/>
    <s v="Extended"/>
  </r>
  <r>
    <x v="116"/>
    <x v="116"/>
    <n v="19"/>
    <x v="0"/>
    <d v="2024-10-29T00:00:00"/>
    <d v="2024-10-31T00:00:00"/>
    <x v="6"/>
    <x v="4"/>
    <n v="5642"/>
    <x v="0"/>
    <x v="5"/>
    <s v="Nurse John"/>
    <x v="2"/>
    <n v="2"/>
    <s v="Normal"/>
  </r>
  <r>
    <x v="117"/>
    <x v="117"/>
    <n v="49"/>
    <x v="0"/>
    <d v="2024-08-30T00:00:00"/>
    <d v="2024-09-11T00:00:00"/>
    <x v="2"/>
    <x v="5"/>
    <n v="4266"/>
    <x v="1"/>
    <x v="1"/>
    <s v="Nurse Allen"/>
    <x v="1"/>
    <n v="12"/>
    <s v="Extended"/>
  </r>
  <r>
    <x v="118"/>
    <x v="118"/>
    <n v="57"/>
    <x v="1"/>
    <d v="2024-12-29T00:00:00"/>
    <d v="2025-01-01T00:00:00"/>
    <x v="6"/>
    <x v="8"/>
    <n v="4726"/>
    <x v="0"/>
    <x v="2"/>
    <s v="Nurse Rita"/>
    <x v="1"/>
    <n v="3"/>
    <s v="Normal"/>
  </r>
  <r>
    <x v="119"/>
    <x v="119"/>
    <n v="65"/>
    <x v="0"/>
    <d v="2024-07-31T00:00:00"/>
    <d v="2024-08-09T00:00:00"/>
    <x v="5"/>
    <x v="0"/>
    <n v="8803"/>
    <x v="1"/>
    <x v="2"/>
    <s v="Nurse Lisa"/>
    <x v="1"/>
    <n v="9"/>
    <s v="Extended"/>
  </r>
  <r>
    <x v="120"/>
    <x v="120"/>
    <n v="60"/>
    <x v="1"/>
    <d v="2025-04-03T00:00:00"/>
    <d v="2025-04-07T00:00:00"/>
    <x v="6"/>
    <x v="8"/>
    <n v="5186"/>
    <x v="1"/>
    <x v="1"/>
    <s v="Nurse Mia"/>
    <x v="1"/>
    <n v="4"/>
    <s v="Extended"/>
  </r>
  <r>
    <x v="121"/>
    <x v="121"/>
    <n v="7"/>
    <x v="1"/>
    <d v="2024-09-25T00:00:00"/>
    <d v="2024-09-29T00:00:00"/>
    <x v="5"/>
    <x v="7"/>
    <n v="8567"/>
    <x v="1"/>
    <x v="2"/>
    <s v="Nurse Mia"/>
    <x v="0"/>
    <n v="4"/>
    <s v="Extended"/>
  </r>
  <r>
    <x v="122"/>
    <x v="122"/>
    <n v="62"/>
    <x v="0"/>
    <d v="2025-03-04T00:00:00"/>
    <d v="2025-03-14T00:00:00"/>
    <x v="5"/>
    <x v="2"/>
    <n v="7623"/>
    <x v="0"/>
    <x v="5"/>
    <s v="Nurse Zoe"/>
    <x v="0"/>
    <n v="10"/>
    <s v="Extended"/>
  </r>
  <r>
    <x v="123"/>
    <x v="123"/>
    <n v="43"/>
    <x v="1"/>
    <d v="2024-06-07T00:00:00"/>
    <d v="2024-06-08T00:00:00"/>
    <x v="3"/>
    <x v="1"/>
    <n v="6910"/>
    <x v="1"/>
    <x v="6"/>
    <s v="Nurse John"/>
    <x v="2"/>
    <n v="1"/>
    <s v="Normal"/>
  </r>
  <r>
    <x v="124"/>
    <x v="124"/>
    <n v="58"/>
    <x v="0"/>
    <d v="2024-10-14T00:00:00"/>
    <d v="2024-10-24T00:00:00"/>
    <x v="4"/>
    <x v="3"/>
    <n v="5195"/>
    <x v="0"/>
    <x v="0"/>
    <s v="Nurse Mia"/>
    <x v="2"/>
    <n v="10"/>
    <s v="Extended"/>
  </r>
  <r>
    <x v="125"/>
    <x v="125"/>
    <n v="33"/>
    <x v="0"/>
    <d v="2024-09-18T00:00:00"/>
    <d v="2024-09-26T00:00:00"/>
    <x v="6"/>
    <x v="2"/>
    <n v="4458"/>
    <x v="0"/>
    <x v="1"/>
    <s v="Nurse Zoe"/>
    <x v="0"/>
    <n v="8"/>
    <s v="Extended"/>
  </r>
  <r>
    <x v="126"/>
    <x v="126"/>
    <n v="50"/>
    <x v="1"/>
    <d v="2024-09-17T00:00:00"/>
    <d v="2024-09-19T00:00:00"/>
    <x v="6"/>
    <x v="9"/>
    <n v="3950"/>
    <x v="1"/>
    <x v="5"/>
    <s v="Nurse Mia"/>
    <x v="1"/>
    <n v="2"/>
    <s v="Normal"/>
  </r>
  <r>
    <x v="127"/>
    <x v="127"/>
    <n v="12"/>
    <x v="1"/>
    <d v="2024-09-16T00:00:00"/>
    <d v="2024-09-20T00:00:00"/>
    <x v="0"/>
    <x v="8"/>
    <n v="6676"/>
    <x v="0"/>
    <x v="4"/>
    <s v="Nurse Rita"/>
    <x v="0"/>
    <n v="4"/>
    <s v="Extended"/>
  </r>
  <r>
    <x v="128"/>
    <x v="128"/>
    <n v="52"/>
    <x v="1"/>
    <d v="2024-06-25T00:00:00"/>
    <d v="2024-07-01T00:00:00"/>
    <x v="5"/>
    <x v="9"/>
    <n v="8372"/>
    <x v="1"/>
    <x v="2"/>
    <s v="Nurse Rita"/>
    <x v="2"/>
    <n v="6"/>
    <s v="Extended"/>
  </r>
  <r>
    <x v="129"/>
    <x v="129"/>
    <n v="6"/>
    <x v="0"/>
    <d v="2025-03-28T00:00:00"/>
    <d v="2025-04-08T00:00:00"/>
    <x v="3"/>
    <x v="5"/>
    <n v="5944"/>
    <x v="0"/>
    <x v="3"/>
    <s v="Nurse Lisa"/>
    <x v="0"/>
    <n v="11"/>
    <s v="Extended"/>
  </r>
  <r>
    <x v="130"/>
    <x v="130"/>
    <n v="56"/>
    <x v="0"/>
    <d v="2024-12-25T00:00:00"/>
    <d v="2024-12-26T00:00:00"/>
    <x v="2"/>
    <x v="8"/>
    <n v="5126"/>
    <x v="1"/>
    <x v="4"/>
    <s v="Nurse Mia"/>
    <x v="0"/>
    <n v="1"/>
    <s v="Normal"/>
  </r>
  <r>
    <x v="131"/>
    <x v="131"/>
    <n v="84"/>
    <x v="1"/>
    <d v="2025-01-13T00:00:00"/>
    <d v="2025-01-25T00:00:00"/>
    <x v="0"/>
    <x v="9"/>
    <n v="5225"/>
    <x v="0"/>
    <x v="5"/>
    <s v="Nurse John"/>
    <x v="1"/>
    <n v="12"/>
    <s v="Extended"/>
  </r>
  <r>
    <x v="132"/>
    <x v="132"/>
    <n v="18"/>
    <x v="0"/>
    <d v="2024-06-04T00:00:00"/>
    <d v="2024-06-12T00:00:00"/>
    <x v="1"/>
    <x v="6"/>
    <n v="1897"/>
    <x v="1"/>
    <x v="4"/>
    <s v="Nurse Zoe"/>
    <x v="1"/>
    <n v="8"/>
    <s v="Extended"/>
  </r>
  <r>
    <x v="133"/>
    <x v="133"/>
    <n v="86"/>
    <x v="1"/>
    <d v="2024-09-29T00:00:00"/>
    <d v="2024-09-30T00:00:00"/>
    <x v="3"/>
    <x v="5"/>
    <n v="7739"/>
    <x v="0"/>
    <x v="0"/>
    <s v="Nurse Allen"/>
    <x v="0"/>
    <n v="1"/>
    <s v="Normal"/>
  </r>
  <r>
    <x v="134"/>
    <x v="134"/>
    <n v="29"/>
    <x v="1"/>
    <d v="2024-12-05T00:00:00"/>
    <d v="2024-12-06T00:00:00"/>
    <x v="1"/>
    <x v="0"/>
    <n v="6481"/>
    <x v="0"/>
    <x v="2"/>
    <s v="Nurse Kelly"/>
    <x v="1"/>
    <n v="1"/>
    <s v="Normal"/>
  </r>
  <r>
    <x v="135"/>
    <x v="135"/>
    <n v="7"/>
    <x v="0"/>
    <d v="2025-05-10T00:00:00"/>
    <d v="2025-05-22T00:00:00"/>
    <x v="3"/>
    <x v="9"/>
    <n v="8839"/>
    <x v="0"/>
    <x v="5"/>
    <s v="Nurse Allen"/>
    <x v="2"/>
    <n v="12"/>
    <s v="Extended"/>
  </r>
  <r>
    <x v="136"/>
    <x v="136"/>
    <n v="4"/>
    <x v="1"/>
    <d v="2024-12-05T00:00:00"/>
    <d v="2024-12-18T00:00:00"/>
    <x v="4"/>
    <x v="0"/>
    <n v="7037"/>
    <x v="1"/>
    <x v="0"/>
    <s v="Nurse John"/>
    <x v="0"/>
    <n v="13"/>
    <s v="Extended"/>
  </r>
  <r>
    <x v="137"/>
    <x v="137"/>
    <n v="6"/>
    <x v="1"/>
    <d v="2025-04-03T00:00:00"/>
    <d v="2025-04-11T00:00:00"/>
    <x v="6"/>
    <x v="7"/>
    <n v="2311"/>
    <x v="0"/>
    <x v="6"/>
    <s v="Nurse John"/>
    <x v="0"/>
    <n v="8"/>
    <s v="Extended"/>
  </r>
  <r>
    <x v="138"/>
    <x v="138"/>
    <n v="80"/>
    <x v="0"/>
    <d v="2025-01-07T00:00:00"/>
    <d v="2025-01-16T00:00:00"/>
    <x v="0"/>
    <x v="2"/>
    <n v="3478"/>
    <x v="0"/>
    <x v="3"/>
    <s v="Nurse Rita"/>
    <x v="1"/>
    <n v="9"/>
    <s v="Extended"/>
  </r>
  <r>
    <x v="139"/>
    <x v="139"/>
    <n v="20"/>
    <x v="0"/>
    <d v="2025-03-17T00:00:00"/>
    <d v="2025-03-29T00:00:00"/>
    <x v="3"/>
    <x v="9"/>
    <n v="7391"/>
    <x v="1"/>
    <x v="1"/>
    <s v="Nurse Lisa"/>
    <x v="2"/>
    <n v="12"/>
    <s v="Extended"/>
  </r>
  <r>
    <x v="140"/>
    <x v="140"/>
    <n v="55"/>
    <x v="1"/>
    <d v="2025-01-27T00:00:00"/>
    <d v="2025-01-30T00:00:00"/>
    <x v="6"/>
    <x v="7"/>
    <n v="5955"/>
    <x v="0"/>
    <x v="1"/>
    <s v="Nurse Kelly"/>
    <x v="2"/>
    <n v="3"/>
    <s v="Normal"/>
  </r>
  <r>
    <x v="141"/>
    <x v="141"/>
    <n v="76"/>
    <x v="0"/>
    <d v="2025-05-06T00:00:00"/>
    <d v="2025-05-08T00:00:00"/>
    <x v="1"/>
    <x v="7"/>
    <n v="1340"/>
    <x v="1"/>
    <x v="6"/>
    <s v="Nurse Kelly"/>
    <x v="0"/>
    <n v="2"/>
    <s v="Normal"/>
  </r>
  <r>
    <x v="142"/>
    <x v="142"/>
    <n v="21"/>
    <x v="1"/>
    <d v="2024-09-27T00:00:00"/>
    <d v="2024-10-07T00:00:00"/>
    <x v="2"/>
    <x v="4"/>
    <n v="1604"/>
    <x v="1"/>
    <x v="4"/>
    <s v="Nurse Rita"/>
    <x v="2"/>
    <n v="10"/>
    <s v="Extended"/>
  </r>
  <r>
    <x v="143"/>
    <x v="143"/>
    <n v="58"/>
    <x v="0"/>
    <d v="2024-10-13T00:00:00"/>
    <d v="2024-10-19T00:00:00"/>
    <x v="6"/>
    <x v="9"/>
    <n v="5199"/>
    <x v="1"/>
    <x v="1"/>
    <s v="Nurse Zoe"/>
    <x v="2"/>
    <n v="6"/>
    <s v="Extended"/>
  </r>
  <r>
    <x v="144"/>
    <x v="144"/>
    <n v="82"/>
    <x v="0"/>
    <d v="2024-07-13T00:00:00"/>
    <d v="2024-07-14T00:00:00"/>
    <x v="2"/>
    <x v="2"/>
    <n v="3626"/>
    <x v="0"/>
    <x v="0"/>
    <s v="Nurse Mia"/>
    <x v="0"/>
    <n v="1"/>
    <s v="Normal"/>
  </r>
  <r>
    <x v="145"/>
    <x v="145"/>
    <n v="33"/>
    <x v="0"/>
    <d v="2025-02-20T00:00:00"/>
    <d v="2025-02-28T00:00:00"/>
    <x v="2"/>
    <x v="9"/>
    <n v="1217"/>
    <x v="1"/>
    <x v="3"/>
    <s v="Nurse Kelly"/>
    <x v="1"/>
    <n v="8"/>
    <s v="Extended"/>
  </r>
  <r>
    <x v="146"/>
    <x v="146"/>
    <n v="14"/>
    <x v="0"/>
    <d v="2024-09-05T00:00:00"/>
    <d v="2024-09-07T00:00:00"/>
    <x v="3"/>
    <x v="7"/>
    <n v="7184"/>
    <x v="0"/>
    <x v="6"/>
    <s v="Nurse John"/>
    <x v="2"/>
    <n v="2"/>
    <s v="Normal"/>
  </r>
  <r>
    <x v="147"/>
    <x v="147"/>
    <n v="25"/>
    <x v="0"/>
    <d v="2024-08-03T00:00:00"/>
    <d v="2024-08-04T00:00:00"/>
    <x v="4"/>
    <x v="5"/>
    <n v="5670"/>
    <x v="1"/>
    <x v="5"/>
    <s v="Nurse Kelly"/>
    <x v="2"/>
    <n v="1"/>
    <s v="Normal"/>
  </r>
  <r>
    <x v="148"/>
    <x v="148"/>
    <n v="52"/>
    <x v="0"/>
    <d v="2025-05-27T00:00:00"/>
    <d v="2025-06-08T00:00:00"/>
    <x v="6"/>
    <x v="2"/>
    <n v="8813"/>
    <x v="1"/>
    <x v="2"/>
    <s v="Nurse Allen"/>
    <x v="1"/>
    <n v="12"/>
    <s v="Extended"/>
  </r>
  <r>
    <x v="149"/>
    <x v="149"/>
    <n v="7"/>
    <x v="1"/>
    <d v="2024-08-19T00:00:00"/>
    <d v="2024-08-27T00:00:00"/>
    <x v="3"/>
    <x v="8"/>
    <n v="4175"/>
    <x v="1"/>
    <x v="4"/>
    <s v="Nurse Allen"/>
    <x v="0"/>
    <n v="8"/>
    <s v="Extended"/>
  </r>
  <r>
    <x v="150"/>
    <x v="150"/>
    <n v="10"/>
    <x v="0"/>
    <d v="2024-10-26T00:00:00"/>
    <d v="2024-10-27T00:00:00"/>
    <x v="2"/>
    <x v="3"/>
    <n v="3303"/>
    <x v="1"/>
    <x v="5"/>
    <s v="Nurse Zoe"/>
    <x v="1"/>
    <n v="1"/>
    <s v="Normal"/>
  </r>
  <r>
    <x v="151"/>
    <x v="151"/>
    <n v="76"/>
    <x v="1"/>
    <d v="2024-10-20T00:00:00"/>
    <d v="2024-11-01T00:00:00"/>
    <x v="1"/>
    <x v="4"/>
    <n v="7254"/>
    <x v="1"/>
    <x v="0"/>
    <s v="Nurse Kelly"/>
    <x v="1"/>
    <n v="12"/>
    <s v="Extended"/>
  </r>
  <r>
    <x v="152"/>
    <x v="152"/>
    <n v="72"/>
    <x v="0"/>
    <d v="2025-03-09T00:00:00"/>
    <d v="2025-03-19T00:00:00"/>
    <x v="1"/>
    <x v="2"/>
    <n v="6510"/>
    <x v="0"/>
    <x v="5"/>
    <s v="Nurse Lisa"/>
    <x v="0"/>
    <n v="10"/>
    <s v="Extended"/>
  </r>
  <r>
    <x v="153"/>
    <x v="153"/>
    <n v="3"/>
    <x v="0"/>
    <d v="2024-12-11T00:00:00"/>
    <d v="2024-12-24T00:00:00"/>
    <x v="3"/>
    <x v="3"/>
    <n v="2845"/>
    <x v="1"/>
    <x v="2"/>
    <s v="Nurse John"/>
    <x v="0"/>
    <n v="13"/>
    <s v="Extended"/>
  </r>
  <r>
    <x v="154"/>
    <x v="154"/>
    <n v="77"/>
    <x v="1"/>
    <d v="2025-03-05T00:00:00"/>
    <d v="2025-03-08T00:00:00"/>
    <x v="3"/>
    <x v="2"/>
    <n v="3968"/>
    <x v="1"/>
    <x v="5"/>
    <s v="Nurse Lisa"/>
    <x v="0"/>
    <n v="3"/>
    <s v="Normal"/>
  </r>
  <r>
    <x v="155"/>
    <x v="155"/>
    <n v="9"/>
    <x v="0"/>
    <d v="2024-08-03T00:00:00"/>
    <d v="2024-08-16T00:00:00"/>
    <x v="5"/>
    <x v="2"/>
    <n v="3018"/>
    <x v="1"/>
    <x v="6"/>
    <s v="Nurse Lisa"/>
    <x v="2"/>
    <n v="13"/>
    <s v="Extended"/>
  </r>
  <r>
    <x v="156"/>
    <x v="156"/>
    <n v="81"/>
    <x v="0"/>
    <d v="2024-09-10T00:00:00"/>
    <d v="2024-09-23T00:00:00"/>
    <x v="1"/>
    <x v="9"/>
    <n v="7292"/>
    <x v="1"/>
    <x v="4"/>
    <s v="Nurse John"/>
    <x v="2"/>
    <n v="13"/>
    <s v="Extended"/>
  </r>
  <r>
    <x v="157"/>
    <x v="157"/>
    <n v="55"/>
    <x v="0"/>
    <d v="2024-07-17T00:00:00"/>
    <d v="2024-07-25T00:00:00"/>
    <x v="5"/>
    <x v="7"/>
    <n v="1981"/>
    <x v="1"/>
    <x v="6"/>
    <s v="Nurse Lisa"/>
    <x v="2"/>
    <n v="8"/>
    <s v="Extended"/>
  </r>
  <r>
    <x v="158"/>
    <x v="158"/>
    <n v="80"/>
    <x v="1"/>
    <d v="2025-02-26T00:00:00"/>
    <d v="2025-02-27T00:00:00"/>
    <x v="2"/>
    <x v="9"/>
    <n v="3900"/>
    <x v="1"/>
    <x v="3"/>
    <s v="Nurse Lisa"/>
    <x v="1"/>
    <n v="1"/>
    <s v="Normal"/>
  </r>
  <r>
    <x v="159"/>
    <x v="159"/>
    <n v="1"/>
    <x v="0"/>
    <d v="2025-03-22T00:00:00"/>
    <d v="2025-03-26T00:00:00"/>
    <x v="2"/>
    <x v="9"/>
    <n v="7929"/>
    <x v="0"/>
    <x v="0"/>
    <s v="Nurse Mia"/>
    <x v="1"/>
    <n v="4"/>
    <s v="Extended"/>
  </r>
  <r>
    <x v="160"/>
    <x v="160"/>
    <n v="57"/>
    <x v="0"/>
    <d v="2024-06-21T00:00:00"/>
    <d v="2024-06-27T00:00:00"/>
    <x v="4"/>
    <x v="2"/>
    <n v="8305"/>
    <x v="0"/>
    <x v="4"/>
    <s v="Nurse John"/>
    <x v="2"/>
    <n v="6"/>
    <s v="Extended"/>
  </r>
  <r>
    <x v="161"/>
    <x v="161"/>
    <n v="61"/>
    <x v="1"/>
    <d v="2025-04-02T00:00:00"/>
    <d v="2025-04-04T00:00:00"/>
    <x v="2"/>
    <x v="5"/>
    <n v="5118"/>
    <x v="0"/>
    <x v="5"/>
    <s v="Nurse Zoe"/>
    <x v="0"/>
    <n v="2"/>
    <s v="Normal"/>
  </r>
  <r>
    <x v="162"/>
    <x v="162"/>
    <n v="4"/>
    <x v="0"/>
    <d v="2025-02-10T00:00:00"/>
    <d v="2025-02-17T00:00:00"/>
    <x v="4"/>
    <x v="9"/>
    <n v="6084"/>
    <x v="0"/>
    <x v="0"/>
    <s v="Nurse Allen"/>
    <x v="2"/>
    <n v="7"/>
    <s v="Extended"/>
  </r>
  <r>
    <x v="163"/>
    <x v="163"/>
    <n v="66"/>
    <x v="1"/>
    <d v="2024-08-09T00:00:00"/>
    <d v="2024-08-16T00:00:00"/>
    <x v="4"/>
    <x v="7"/>
    <n v="4579"/>
    <x v="0"/>
    <x v="1"/>
    <s v="Nurse Mia"/>
    <x v="0"/>
    <n v="7"/>
    <s v="Extended"/>
  </r>
  <r>
    <x v="164"/>
    <x v="164"/>
    <n v="17"/>
    <x v="1"/>
    <d v="2025-03-04T00:00:00"/>
    <d v="2025-03-16T00:00:00"/>
    <x v="2"/>
    <x v="9"/>
    <n v="1565"/>
    <x v="1"/>
    <x v="5"/>
    <s v="Nurse Allen"/>
    <x v="0"/>
    <n v="12"/>
    <s v="Extended"/>
  </r>
  <r>
    <x v="165"/>
    <x v="165"/>
    <n v="22"/>
    <x v="1"/>
    <d v="2025-04-19T00:00:00"/>
    <d v="2025-04-30T00:00:00"/>
    <x v="2"/>
    <x v="3"/>
    <n v="6198"/>
    <x v="1"/>
    <x v="1"/>
    <s v="Nurse Mia"/>
    <x v="0"/>
    <n v="11"/>
    <s v="Extended"/>
  </r>
  <r>
    <x v="166"/>
    <x v="166"/>
    <n v="37"/>
    <x v="1"/>
    <d v="2025-01-24T00:00:00"/>
    <d v="2025-01-26T00:00:00"/>
    <x v="5"/>
    <x v="1"/>
    <n v="3821"/>
    <x v="0"/>
    <x v="4"/>
    <s v="Nurse John"/>
    <x v="0"/>
    <n v="2"/>
    <s v="Normal"/>
  </r>
  <r>
    <x v="167"/>
    <x v="167"/>
    <n v="38"/>
    <x v="1"/>
    <d v="2025-05-07T00:00:00"/>
    <d v="2025-05-21T00:00:00"/>
    <x v="1"/>
    <x v="1"/>
    <n v="8406"/>
    <x v="0"/>
    <x v="4"/>
    <s v="Nurse John"/>
    <x v="2"/>
    <n v="14"/>
    <s v="Extended"/>
  </r>
  <r>
    <x v="168"/>
    <x v="168"/>
    <n v="21"/>
    <x v="1"/>
    <d v="2025-02-05T00:00:00"/>
    <d v="2025-02-16T00:00:00"/>
    <x v="1"/>
    <x v="8"/>
    <n v="4890"/>
    <x v="0"/>
    <x v="6"/>
    <s v="Nurse Rita"/>
    <x v="2"/>
    <n v="11"/>
    <s v="Extended"/>
  </r>
  <r>
    <x v="169"/>
    <x v="169"/>
    <n v="15"/>
    <x v="1"/>
    <d v="2025-05-22T00:00:00"/>
    <d v="2025-06-04T00:00:00"/>
    <x v="4"/>
    <x v="5"/>
    <n v="7794"/>
    <x v="0"/>
    <x v="6"/>
    <s v="Nurse Rita"/>
    <x v="0"/>
    <n v="13"/>
    <s v="Extended"/>
  </r>
  <r>
    <x v="170"/>
    <x v="170"/>
    <n v="20"/>
    <x v="0"/>
    <d v="2024-12-02T00:00:00"/>
    <d v="2024-12-13T00:00:00"/>
    <x v="4"/>
    <x v="8"/>
    <n v="8053"/>
    <x v="0"/>
    <x v="6"/>
    <s v="Nurse Zoe"/>
    <x v="2"/>
    <n v="11"/>
    <s v="Extended"/>
  </r>
  <r>
    <x v="171"/>
    <x v="171"/>
    <n v="73"/>
    <x v="1"/>
    <d v="2025-01-31T00:00:00"/>
    <d v="2025-02-06T00:00:00"/>
    <x v="5"/>
    <x v="6"/>
    <n v="9481"/>
    <x v="0"/>
    <x v="0"/>
    <s v="Nurse Kelly"/>
    <x v="1"/>
    <n v="6"/>
    <s v="Extended"/>
  </r>
  <r>
    <x v="172"/>
    <x v="172"/>
    <n v="66"/>
    <x v="1"/>
    <d v="2024-12-23T00:00:00"/>
    <d v="2025-01-03T00:00:00"/>
    <x v="4"/>
    <x v="8"/>
    <n v="7339"/>
    <x v="1"/>
    <x v="2"/>
    <s v="Nurse Kelly"/>
    <x v="0"/>
    <n v="11"/>
    <s v="Extended"/>
  </r>
  <r>
    <x v="173"/>
    <x v="173"/>
    <n v="35"/>
    <x v="1"/>
    <d v="2025-01-16T00:00:00"/>
    <d v="2025-01-21T00:00:00"/>
    <x v="2"/>
    <x v="8"/>
    <n v="6004"/>
    <x v="0"/>
    <x v="2"/>
    <s v="Nurse Mia"/>
    <x v="2"/>
    <n v="5"/>
    <s v="Extended"/>
  </r>
  <r>
    <x v="174"/>
    <x v="174"/>
    <n v="79"/>
    <x v="0"/>
    <d v="2024-11-07T00:00:00"/>
    <d v="2024-11-13T00:00:00"/>
    <x v="4"/>
    <x v="3"/>
    <n v="1364"/>
    <x v="0"/>
    <x v="3"/>
    <s v="Nurse Allen"/>
    <x v="2"/>
    <n v="6"/>
    <s v="Extended"/>
  </r>
  <r>
    <x v="175"/>
    <x v="175"/>
    <n v="76"/>
    <x v="0"/>
    <d v="2024-09-30T00:00:00"/>
    <d v="2024-10-13T00:00:00"/>
    <x v="0"/>
    <x v="8"/>
    <n v="2306"/>
    <x v="1"/>
    <x v="0"/>
    <s v="Nurse Lisa"/>
    <x v="0"/>
    <n v="13"/>
    <s v="Extended"/>
  </r>
  <r>
    <x v="176"/>
    <x v="176"/>
    <n v="73"/>
    <x v="1"/>
    <d v="2025-05-14T00:00:00"/>
    <d v="2025-05-18T00:00:00"/>
    <x v="6"/>
    <x v="7"/>
    <n v="6088"/>
    <x v="1"/>
    <x v="4"/>
    <s v="Nurse Zoe"/>
    <x v="1"/>
    <n v="4"/>
    <s v="Extended"/>
  </r>
  <r>
    <x v="177"/>
    <x v="177"/>
    <n v="89"/>
    <x v="0"/>
    <d v="2025-04-24T00:00:00"/>
    <d v="2025-05-03T00:00:00"/>
    <x v="6"/>
    <x v="0"/>
    <n v="2886"/>
    <x v="0"/>
    <x v="6"/>
    <s v="Nurse Zoe"/>
    <x v="2"/>
    <n v="9"/>
    <s v="Extended"/>
  </r>
  <r>
    <x v="178"/>
    <x v="178"/>
    <n v="45"/>
    <x v="0"/>
    <d v="2025-04-09T00:00:00"/>
    <d v="2025-04-13T00:00:00"/>
    <x v="4"/>
    <x v="2"/>
    <n v="9736"/>
    <x v="0"/>
    <x v="2"/>
    <s v="Nurse Rita"/>
    <x v="2"/>
    <n v="4"/>
    <s v="Extended"/>
  </r>
  <r>
    <x v="179"/>
    <x v="179"/>
    <n v="11"/>
    <x v="1"/>
    <d v="2025-04-09T00:00:00"/>
    <d v="2025-04-19T00:00:00"/>
    <x v="4"/>
    <x v="0"/>
    <n v="5973"/>
    <x v="0"/>
    <x v="2"/>
    <s v="Nurse Rita"/>
    <x v="1"/>
    <n v="10"/>
    <s v="Extended"/>
  </r>
  <r>
    <x v="180"/>
    <x v="180"/>
    <n v="6"/>
    <x v="1"/>
    <d v="2024-07-21T00:00:00"/>
    <d v="2024-08-03T00:00:00"/>
    <x v="0"/>
    <x v="8"/>
    <n v="9062"/>
    <x v="1"/>
    <x v="3"/>
    <s v="Nurse Mia"/>
    <x v="0"/>
    <n v="13"/>
    <s v="Extended"/>
  </r>
  <r>
    <x v="181"/>
    <x v="181"/>
    <n v="87"/>
    <x v="1"/>
    <d v="2024-08-15T00:00:00"/>
    <d v="2024-08-29T00:00:00"/>
    <x v="2"/>
    <x v="8"/>
    <n v="1220"/>
    <x v="1"/>
    <x v="6"/>
    <s v="Nurse John"/>
    <x v="1"/>
    <n v="14"/>
    <s v="Extended"/>
  </r>
  <r>
    <x v="182"/>
    <x v="182"/>
    <n v="27"/>
    <x v="0"/>
    <d v="2024-08-22T00:00:00"/>
    <d v="2024-09-01T00:00:00"/>
    <x v="2"/>
    <x v="9"/>
    <n v="2664"/>
    <x v="1"/>
    <x v="1"/>
    <s v="Nurse Lisa"/>
    <x v="0"/>
    <n v="10"/>
    <s v="Extended"/>
  </r>
  <r>
    <x v="183"/>
    <x v="183"/>
    <n v="41"/>
    <x v="0"/>
    <d v="2025-03-28T00:00:00"/>
    <d v="2025-04-07T00:00:00"/>
    <x v="2"/>
    <x v="4"/>
    <n v="2991"/>
    <x v="1"/>
    <x v="3"/>
    <s v="Nurse Mia"/>
    <x v="0"/>
    <n v="10"/>
    <s v="Extended"/>
  </r>
  <r>
    <x v="184"/>
    <x v="184"/>
    <n v="23"/>
    <x v="0"/>
    <d v="2024-09-20T00:00:00"/>
    <d v="2024-09-26T00:00:00"/>
    <x v="2"/>
    <x v="7"/>
    <n v="2858"/>
    <x v="1"/>
    <x v="0"/>
    <s v="Nurse Kelly"/>
    <x v="1"/>
    <n v="6"/>
    <s v="Extended"/>
  </r>
  <r>
    <x v="185"/>
    <x v="185"/>
    <n v="21"/>
    <x v="0"/>
    <d v="2024-11-14T00:00:00"/>
    <d v="2024-11-22T00:00:00"/>
    <x v="1"/>
    <x v="2"/>
    <n v="3762"/>
    <x v="0"/>
    <x v="4"/>
    <s v="Nurse Lisa"/>
    <x v="1"/>
    <n v="8"/>
    <s v="Extended"/>
  </r>
  <r>
    <x v="186"/>
    <x v="186"/>
    <n v="24"/>
    <x v="0"/>
    <d v="2024-11-21T00:00:00"/>
    <d v="2024-11-22T00:00:00"/>
    <x v="3"/>
    <x v="1"/>
    <n v="1817"/>
    <x v="0"/>
    <x v="5"/>
    <s v="Nurse Lisa"/>
    <x v="0"/>
    <n v="1"/>
    <s v="Normal"/>
  </r>
  <r>
    <x v="187"/>
    <x v="187"/>
    <n v="45"/>
    <x v="0"/>
    <d v="2025-03-14T00:00:00"/>
    <d v="2025-03-25T00:00:00"/>
    <x v="3"/>
    <x v="2"/>
    <n v="3879"/>
    <x v="1"/>
    <x v="1"/>
    <s v="Nurse Kelly"/>
    <x v="1"/>
    <n v="11"/>
    <s v="Extended"/>
  </r>
  <r>
    <x v="188"/>
    <x v="188"/>
    <n v="24"/>
    <x v="1"/>
    <d v="2024-09-07T00:00:00"/>
    <d v="2024-09-21T00:00:00"/>
    <x v="6"/>
    <x v="4"/>
    <n v="6484"/>
    <x v="1"/>
    <x v="2"/>
    <s v="Nurse Lisa"/>
    <x v="0"/>
    <n v="14"/>
    <s v="Extended"/>
  </r>
  <r>
    <x v="189"/>
    <x v="189"/>
    <n v="12"/>
    <x v="1"/>
    <d v="2024-07-08T00:00:00"/>
    <d v="2024-07-15T00:00:00"/>
    <x v="4"/>
    <x v="6"/>
    <n v="6680"/>
    <x v="0"/>
    <x v="5"/>
    <s v="Nurse Mia"/>
    <x v="2"/>
    <n v="7"/>
    <s v="Extended"/>
  </r>
  <r>
    <x v="190"/>
    <x v="190"/>
    <n v="23"/>
    <x v="0"/>
    <d v="2024-07-31T00:00:00"/>
    <d v="2024-08-12T00:00:00"/>
    <x v="0"/>
    <x v="1"/>
    <n v="4450"/>
    <x v="0"/>
    <x v="4"/>
    <s v="Nurse Mia"/>
    <x v="2"/>
    <n v="12"/>
    <s v="Extended"/>
  </r>
  <r>
    <x v="191"/>
    <x v="191"/>
    <n v="37"/>
    <x v="0"/>
    <d v="2025-01-28T00:00:00"/>
    <d v="2025-02-01T00:00:00"/>
    <x v="5"/>
    <x v="4"/>
    <n v="8118"/>
    <x v="1"/>
    <x v="2"/>
    <s v="Nurse Allen"/>
    <x v="2"/>
    <n v="4"/>
    <s v="Extended"/>
  </r>
  <r>
    <x v="192"/>
    <x v="192"/>
    <n v="24"/>
    <x v="1"/>
    <d v="2024-09-28T00:00:00"/>
    <d v="2024-10-12T00:00:00"/>
    <x v="3"/>
    <x v="6"/>
    <n v="4650"/>
    <x v="0"/>
    <x v="5"/>
    <s v="Nurse Mia"/>
    <x v="1"/>
    <n v="14"/>
    <s v="Extended"/>
  </r>
  <r>
    <x v="193"/>
    <x v="193"/>
    <n v="53"/>
    <x v="0"/>
    <d v="2024-08-28T00:00:00"/>
    <d v="2024-09-11T00:00:00"/>
    <x v="5"/>
    <x v="2"/>
    <n v="9156"/>
    <x v="0"/>
    <x v="2"/>
    <s v="Nurse Mia"/>
    <x v="2"/>
    <n v="14"/>
    <s v="Extended"/>
  </r>
  <r>
    <x v="194"/>
    <x v="194"/>
    <n v="14"/>
    <x v="0"/>
    <d v="2024-10-15T00:00:00"/>
    <d v="2024-10-29T00:00:00"/>
    <x v="3"/>
    <x v="1"/>
    <n v="6976"/>
    <x v="0"/>
    <x v="0"/>
    <s v="Nurse Kelly"/>
    <x v="1"/>
    <n v="14"/>
    <s v="Extended"/>
  </r>
  <r>
    <x v="195"/>
    <x v="195"/>
    <n v="67"/>
    <x v="1"/>
    <d v="2024-07-15T00:00:00"/>
    <d v="2024-07-29T00:00:00"/>
    <x v="2"/>
    <x v="1"/>
    <n v="3221"/>
    <x v="1"/>
    <x v="3"/>
    <s v="Nurse Zoe"/>
    <x v="2"/>
    <n v="14"/>
    <s v="Extended"/>
  </r>
  <r>
    <x v="196"/>
    <x v="196"/>
    <n v="37"/>
    <x v="1"/>
    <d v="2025-05-09T00:00:00"/>
    <d v="2025-05-23T00:00:00"/>
    <x v="3"/>
    <x v="6"/>
    <n v="1059"/>
    <x v="1"/>
    <x v="5"/>
    <s v="Nurse Allen"/>
    <x v="1"/>
    <n v="14"/>
    <s v="Extended"/>
  </r>
  <r>
    <x v="197"/>
    <x v="197"/>
    <n v="6"/>
    <x v="0"/>
    <d v="2024-06-19T00:00:00"/>
    <d v="2024-06-20T00:00:00"/>
    <x v="2"/>
    <x v="4"/>
    <n v="9951"/>
    <x v="0"/>
    <x v="3"/>
    <s v="Nurse Kelly"/>
    <x v="0"/>
    <n v="1"/>
    <s v="Normal"/>
  </r>
  <r>
    <x v="198"/>
    <x v="198"/>
    <n v="11"/>
    <x v="0"/>
    <d v="2025-03-25T00:00:00"/>
    <d v="2025-04-01T00:00:00"/>
    <x v="1"/>
    <x v="6"/>
    <n v="9281"/>
    <x v="0"/>
    <x v="6"/>
    <s v="Nurse Mia"/>
    <x v="2"/>
    <n v="7"/>
    <s v="Extended"/>
  </r>
  <r>
    <x v="199"/>
    <x v="199"/>
    <n v="70"/>
    <x v="0"/>
    <d v="2025-05-19T00:00:00"/>
    <d v="2025-05-22T00:00:00"/>
    <x v="6"/>
    <x v="9"/>
    <n v="8180"/>
    <x v="0"/>
    <x v="5"/>
    <s v="Nurse Zoe"/>
    <x v="2"/>
    <n v="3"/>
    <s v="Normal"/>
  </r>
  <r>
    <x v="200"/>
    <x v="200"/>
    <n v="78"/>
    <x v="0"/>
    <d v="2025-04-14T00:00:00"/>
    <d v="2025-04-16T00:00:00"/>
    <x v="5"/>
    <x v="6"/>
    <n v="9787"/>
    <x v="0"/>
    <x v="4"/>
    <s v="Nurse John"/>
    <x v="2"/>
    <n v="2"/>
    <s v="Normal"/>
  </r>
  <r>
    <x v="201"/>
    <x v="201"/>
    <n v="83"/>
    <x v="0"/>
    <d v="2024-08-08T00:00:00"/>
    <d v="2024-08-19T00:00:00"/>
    <x v="3"/>
    <x v="1"/>
    <n v="3283"/>
    <x v="1"/>
    <x v="6"/>
    <s v="Nurse Allen"/>
    <x v="2"/>
    <n v="11"/>
    <s v="Extended"/>
  </r>
  <r>
    <x v="202"/>
    <x v="202"/>
    <n v="62"/>
    <x v="0"/>
    <d v="2025-05-09T00:00:00"/>
    <d v="2025-05-11T00:00:00"/>
    <x v="0"/>
    <x v="8"/>
    <n v="4417"/>
    <x v="0"/>
    <x v="5"/>
    <s v="Nurse Mia"/>
    <x v="0"/>
    <n v="2"/>
    <s v="Normal"/>
  </r>
  <r>
    <x v="203"/>
    <x v="203"/>
    <n v="53"/>
    <x v="1"/>
    <d v="2025-03-01T00:00:00"/>
    <d v="2025-03-03T00:00:00"/>
    <x v="5"/>
    <x v="1"/>
    <n v="2623"/>
    <x v="1"/>
    <x v="1"/>
    <s v="Nurse Mia"/>
    <x v="1"/>
    <n v="2"/>
    <s v="Normal"/>
  </r>
  <r>
    <x v="204"/>
    <x v="204"/>
    <n v="43"/>
    <x v="1"/>
    <d v="2025-05-23T00:00:00"/>
    <d v="2025-05-24T00:00:00"/>
    <x v="2"/>
    <x v="0"/>
    <n v="4785"/>
    <x v="1"/>
    <x v="1"/>
    <s v="Nurse Allen"/>
    <x v="0"/>
    <n v="1"/>
    <s v="Normal"/>
  </r>
  <r>
    <x v="205"/>
    <x v="205"/>
    <n v="56"/>
    <x v="1"/>
    <d v="2024-10-30T00:00:00"/>
    <d v="2024-11-09T00:00:00"/>
    <x v="4"/>
    <x v="1"/>
    <n v="5175"/>
    <x v="0"/>
    <x v="0"/>
    <s v="Nurse Lisa"/>
    <x v="0"/>
    <n v="10"/>
    <s v="Extended"/>
  </r>
  <r>
    <x v="206"/>
    <x v="206"/>
    <n v="54"/>
    <x v="0"/>
    <d v="2025-05-29T00:00:00"/>
    <d v="2025-06-10T00:00:00"/>
    <x v="5"/>
    <x v="3"/>
    <n v="1832"/>
    <x v="0"/>
    <x v="4"/>
    <s v="Nurse Mia"/>
    <x v="1"/>
    <n v="12"/>
    <s v="Extended"/>
  </r>
  <r>
    <x v="207"/>
    <x v="207"/>
    <n v="10"/>
    <x v="1"/>
    <d v="2024-08-06T00:00:00"/>
    <d v="2024-08-08T00:00:00"/>
    <x v="0"/>
    <x v="9"/>
    <n v="8336"/>
    <x v="0"/>
    <x v="6"/>
    <s v="Nurse Mia"/>
    <x v="0"/>
    <n v="2"/>
    <s v="Normal"/>
  </r>
  <r>
    <x v="208"/>
    <x v="208"/>
    <n v="74"/>
    <x v="0"/>
    <d v="2024-12-14T00:00:00"/>
    <d v="2024-12-17T00:00:00"/>
    <x v="4"/>
    <x v="4"/>
    <n v="6385"/>
    <x v="0"/>
    <x v="3"/>
    <s v="Nurse Allen"/>
    <x v="0"/>
    <n v="3"/>
    <s v="Normal"/>
  </r>
  <r>
    <x v="209"/>
    <x v="209"/>
    <n v="31"/>
    <x v="1"/>
    <d v="2024-11-02T00:00:00"/>
    <d v="2024-11-03T00:00:00"/>
    <x v="4"/>
    <x v="8"/>
    <n v="4661"/>
    <x v="0"/>
    <x v="5"/>
    <s v="Nurse Allen"/>
    <x v="1"/>
    <n v="1"/>
    <s v="Normal"/>
  </r>
  <r>
    <x v="210"/>
    <x v="210"/>
    <n v="34"/>
    <x v="0"/>
    <d v="2025-01-08T00:00:00"/>
    <d v="2025-01-12T00:00:00"/>
    <x v="2"/>
    <x v="1"/>
    <n v="9332"/>
    <x v="1"/>
    <x v="4"/>
    <s v="Nurse Mia"/>
    <x v="0"/>
    <n v="4"/>
    <s v="Extended"/>
  </r>
  <r>
    <x v="211"/>
    <x v="211"/>
    <n v="59"/>
    <x v="0"/>
    <d v="2025-02-08T00:00:00"/>
    <d v="2025-02-13T00:00:00"/>
    <x v="0"/>
    <x v="9"/>
    <n v="2959"/>
    <x v="1"/>
    <x v="4"/>
    <s v="Nurse Zoe"/>
    <x v="0"/>
    <n v="5"/>
    <s v="Extended"/>
  </r>
  <r>
    <x v="212"/>
    <x v="212"/>
    <n v="52"/>
    <x v="0"/>
    <d v="2024-11-13T00:00:00"/>
    <d v="2024-11-21T00:00:00"/>
    <x v="2"/>
    <x v="4"/>
    <n v="9929"/>
    <x v="0"/>
    <x v="1"/>
    <s v="Nurse Lisa"/>
    <x v="2"/>
    <n v="8"/>
    <s v="Extended"/>
  </r>
  <r>
    <x v="213"/>
    <x v="213"/>
    <n v="42"/>
    <x v="1"/>
    <d v="2024-09-01T00:00:00"/>
    <d v="2024-09-07T00:00:00"/>
    <x v="2"/>
    <x v="6"/>
    <n v="1511"/>
    <x v="0"/>
    <x v="6"/>
    <s v="Nurse Kelly"/>
    <x v="2"/>
    <n v="6"/>
    <s v="Extended"/>
  </r>
  <r>
    <x v="214"/>
    <x v="214"/>
    <n v="39"/>
    <x v="1"/>
    <d v="2025-05-22T00:00:00"/>
    <d v="2025-05-28T00:00:00"/>
    <x v="5"/>
    <x v="8"/>
    <n v="6368"/>
    <x v="0"/>
    <x v="1"/>
    <s v="Nurse John"/>
    <x v="1"/>
    <n v="6"/>
    <s v="Extended"/>
  </r>
  <r>
    <x v="215"/>
    <x v="215"/>
    <n v="79"/>
    <x v="0"/>
    <d v="2025-05-12T00:00:00"/>
    <d v="2025-05-26T00:00:00"/>
    <x v="4"/>
    <x v="4"/>
    <n v="4360"/>
    <x v="0"/>
    <x v="5"/>
    <s v="Nurse Lisa"/>
    <x v="2"/>
    <n v="14"/>
    <s v="Extended"/>
  </r>
  <r>
    <x v="216"/>
    <x v="216"/>
    <n v="50"/>
    <x v="1"/>
    <d v="2025-03-24T00:00:00"/>
    <d v="2025-03-27T00:00:00"/>
    <x v="1"/>
    <x v="3"/>
    <n v="2883"/>
    <x v="0"/>
    <x v="5"/>
    <s v="Nurse Zoe"/>
    <x v="1"/>
    <n v="3"/>
    <s v="Normal"/>
  </r>
  <r>
    <x v="217"/>
    <x v="217"/>
    <n v="13"/>
    <x v="1"/>
    <d v="2025-02-22T00:00:00"/>
    <d v="2025-03-05T00:00:00"/>
    <x v="5"/>
    <x v="3"/>
    <n v="9814"/>
    <x v="1"/>
    <x v="2"/>
    <s v="Nurse Lisa"/>
    <x v="2"/>
    <n v="11"/>
    <s v="Extended"/>
  </r>
  <r>
    <x v="218"/>
    <x v="218"/>
    <n v="33"/>
    <x v="0"/>
    <d v="2025-05-27T00:00:00"/>
    <d v="2025-05-29T00:00:00"/>
    <x v="4"/>
    <x v="0"/>
    <n v="8802"/>
    <x v="0"/>
    <x v="1"/>
    <s v="Nurse Allen"/>
    <x v="2"/>
    <n v="2"/>
    <s v="Normal"/>
  </r>
  <r>
    <x v="219"/>
    <x v="219"/>
    <n v="59"/>
    <x v="1"/>
    <d v="2024-10-16T00:00:00"/>
    <d v="2024-10-29T00:00:00"/>
    <x v="4"/>
    <x v="9"/>
    <n v="8596"/>
    <x v="1"/>
    <x v="0"/>
    <s v="Nurse Rita"/>
    <x v="2"/>
    <n v="13"/>
    <s v="Extended"/>
  </r>
  <r>
    <x v="220"/>
    <x v="220"/>
    <n v="73"/>
    <x v="0"/>
    <d v="2025-04-09T00:00:00"/>
    <d v="2025-04-23T00:00:00"/>
    <x v="2"/>
    <x v="8"/>
    <n v="5972"/>
    <x v="0"/>
    <x v="3"/>
    <s v="Nurse Kelly"/>
    <x v="1"/>
    <n v="14"/>
    <s v="Extended"/>
  </r>
  <r>
    <x v="221"/>
    <x v="221"/>
    <n v="88"/>
    <x v="0"/>
    <d v="2024-06-09T00:00:00"/>
    <d v="2024-06-14T00:00:00"/>
    <x v="3"/>
    <x v="4"/>
    <n v="5482"/>
    <x v="1"/>
    <x v="0"/>
    <s v="Nurse Rita"/>
    <x v="0"/>
    <n v="5"/>
    <s v="Extended"/>
  </r>
  <r>
    <x v="222"/>
    <x v="222"/>
    <n v="62"/>
    <x v="0"/>
    <d v="2025-03-31T00:00:00"/>
    <d v="2025-04-11T00:00:00"/>
    <x v="5"/>
    <x v="5"/>
    <n v="3590"/>
    <x v="1"/>
    <x v="1"/>
    <s v="Nurse Zoe"/>
    <x v="0"/>
    <n v="11"/>
    <s v="Extended"/>
  </r>
  <r>
    <x v="223"/>
    <x v="223"/>
    <n v="74"/>
    <x v="1"/>
    <d v="2024-08-02T00:00:00"/>
    <d v="2024-08-11T00:00:00"/>
    <x v="6"/>
    <x v="0"/>
    <n v="3734"/>
    <x v="0"/>
    <x v="2"/>
    <s v="Nurse Allen"/>
    <x v="1"/>
    <n v="9"/>
    <s v="Extended"/>
  </r>
  <r>
    <x v="224"/>
    <x v="224"/>
    <n v="66"/>
    <x v="1"/>
    <d v="2025-02-05T00:00:00"/>
    <d v="2025-02-08T00:00:00"/>
    <x v="2"/>
    <x v="2"/>
    <n v="2470"/>
    <x v="1"/>
    <x v="0"/>
    <s v="Nurse John"/>
    <x v="2"/>
    <n v="3"/>
    <s v="Normal"/>
  </r>
  <r>
    <x v="225"/>
    <x v="225"/>
    <n v="88"/>
    <x v="0"/>
    <d v="2025-01-28T00:00:00"/>
    <d v="2025-02-03T00:00:00"/>
    <x v="5"/>
    <x v="8"/>
    <n v="4423"/>
    <x v="0"/>
    <x v="2"/>
    <s v="Nurse Mia"/>
    <x v="0"/>
    <n v="6"/>
    <s v="Extended"/>
  </r>
  <r>
    <x v="226"/>
    <x v="226"/>
    <n v="38"/>
    <x v="0"/>
    <d v="2024-10-29T00:00:00"/>
    <d v="2024-11-06T00:00:00"/>
    <x v="4"/>
    <x v="6"/>
    <n v="9884"/>
    <x v="1"/>
    <x v="6"/>
    <s v="Nurse Allen"/>
    <x v="0"/>
    <n v="8"/>
    <s v="Extended"/>
  </r>
  <r>
    <x v="227"/>
    <x v="227"/>
    <n v="46"/>
    <x v="1"/>
    <d v="2024-12-13T00:00:00"/>
    <d v="2024-12-25T00:00:00"/>
    <x v="5"/>
    <x v="1"/>
    <n v="1313"/>
    <x v="1"/>
    <x v="2"/>
    <s v="Nurse Kelly"/>
    <x v="1"/>
    <n v="12"/>
    <s v="Extended"/>
  </r>
  <r>
    <x v="228"/>
    <x v="228"/>
    <n v="20"/>
    <x v="1"/>
    <d v="2025-02-26T00:00:00"/>
    <d v="2025-03-12T00:00:00"/>
    <x v="4"/>
    <x v="9"/>
    <n v="8440"/>
    <x v="1"/>
    <x v="6"/>
    <s v="Nurse Rita"/>
    <x v="0"/>
    <n v="14"/>
    <s v="Extended"/>
  </r>
  <r>
    <x v="229"/>
    <x v="229"/>
    <n v="85"/>
    <x v="1"/>
    <d v="2024-07-11T00:00:00"/>
    <d v="2024-07-21T00:00:00"/>
    <x v="6"/>
    <x v="1"/>
    <n v="1753"/>
    <x v="0"/>
    <x v="2"/>
    <s v="Nurse Allen"/>
    <x v="1"/>
    <n v="10"/>
    <s v="Extended"/>
  </r>
  <r>
    <x v="230"/>
    <x v="230"/>
    <n v="61"/>
    <x v="0"/>
    <d v="2024-11-10T00:00:00"/>
    <d v="2024-11-20T00:00:00"/>
    <x v="3"/>
    <x v="8"/>
    <n v="2070"/>
    <x v="0"/>
    <x v="5"/>
    <s v="Nurse Lisa"/>
    <x v="1"/>
    <n v="10"/>
    <s v="Extended"/>
  </r>
  <r>
    <x v="231"/>
    <x v="231"/>
    <n v="60"/>
    <x v="1"/>
    <d v="2025-05-24T00:00:00"/>
    <d v="2025-05-30T00:00:00"/>
    <x v="0"/>
    <x v="1"/>
    <n v="4617"/>
    <x v="1"/>
    <x v="1"/>
    <s v="Nurse Allen"/>
    <x v="2"/>
    <n v="6"/>
    <s v="Extended"/>
  </r>
  <r>
    <x v="232"/>
    <x v="232"/>
    <n v="71"/>
    <x v="1"/>
    <d v="2025-02-08T00:00:00"/>
    <d v="2025-02-11T00:00:00"/>
    <x v="6"/>
    <x v="0"/>
    <n v="3737"/>
    <x v="0"/>
    <x v="1"/>
    <s v="Nurse Zoe"/>
    <x v="2"/>
    <n v="3"/>
    <s v="Normal"/>
  </r>
  <r>
    <x v="233"/>
    <x v="233"/>
    <n v="49"/>
    <x v="0"/>
    <d v="2024-07-06T00:00:00"/>
    <d v="2024-07-18T00:00:00"/>
    <x v="6"/>
    <x v="6"/>
    <n v="6541"/>
    <x v="0"/>
    <x v="0"/>
    <s v="Nurse Mia"/>
    <x v="0"/>
    <n v="12"/>
    <s v="Extended"/>
  </r>
  <r>
    <x v="234"/>
    <x v="234"/>
    <n v="89"/>
    <x v="0"/>
    <d v="2025-04-25T00:00:00"/>
    <d v="2025-05-04T00:00:00"/>
    <x v="4"/>
    <x v="2"/>
    <n v="3977"/>
    <x v="0"/>
    <x v="3"/>
    <s v="Nurse Zoe"/>
    <x v="0"/>
    <n v="9"/>
    <s v="Extended"/>
  </r>
  <r>
    <x v="235"/>
    <x v="235"/>
    <n v="21"/>
    <x v="0"/>
    <d v="2024-12-18T00:00:00"/>
    <d v="2024-12-31T00:00:00"/>
    <x v="5"/>
    <x v="6"/>
    <n v="5991"/>
    <x v="1"/>
    <x v="6"/>
    <s v="Nurse Rita"/>
    <x v="0"/>
    <n v="13"/>
    <s v="Extended"/>
  </r>
  <r>
    <x v="236"/>
    <x v="236"/>
    <n v="36"/>
    <x v="0"/>
    <d v="2025-05-29T00:00:00"/>
    <d v="2025-06-05T00:00:00"/>
    <x v="0"/>
    <x v="3"/>
    <n v="4286"/>
    <x v="1"/>
    <x v="0"/>
    <s v="Nurse Zoe"/>
    <x v="0"/>
    <n v="7"/>
    <s v="Extended"/>
  </r>
  <r>
    <x v="237"/>
    <x v="237"/>
    <n v="4"/>
    <x v="0"/>
    <d v="2025-05-03T00:00:00"/>
    <d v="2025-05-06T00:00:00"/>
    <x v="0"/>
    <x v="6"/>
    <n v="1129"/>
    <x v="0"/>
    <x v="4"/>
    <s v="Nurse Allen"/>
    <x v="2"/>
    <n v="3"/>
    <s v="Normal"/>
  </r>
  <r>
    <x v="238"/>
    <x v="238"/>
    <n v="79"/>
    <x v="1"/>
    <d v="2024-05-30T00:00:00"/>
    <d v="2024-06-10T00:00:00"/>
    <x v="5"/>
    <x v="2"/>
    <n v="7049"/>
    <x v="1"/>
    <x v="2"/>
    <s v="Nurse Allen"/>
    <x v="0"/>
    <n v="11"/>
    <s v="Extended"/>
  </r>
  <r>
    <x v="239"/>
    <x v="239"/>
    <n v="27"/>
    <x v="0"/>
    <d v="2024-12-27T00:00:00"/>
    <d v="2025-01-09T00:00:00"/>
    <x v="4"/>
    <x v="9"/>
    <n v="9649"/>
    <x v="0"/>
    <x v="6"/>
    <s v="Nurse Zoe"/>
    <x v="1"/>
    <n v="13"/>
    <s v="Extended"/>
  </r>
  <r>
    <x v="240"/>
    <x v="240"/>
    <n v="50"/>
    <x v="0"/>
    <d v="2024-07-12T00:00:00"/>
    <d v="2024-07-13T00:00:00"/>
    <x v="1"/>
    <x v="3"/>
    <n v="4140"/>
    <x v="1"/>
    <x v="0"/>
    <s v="Nurse Rita"/>
    <x v="1"/>
    <n v="1"/>
    <s v="Normal"/>
  </r>
  <r>
    <x v="241"/>
    <x v="241"/>
    <n v="73"/>
    <x v="0"/>
    <d v="2024-12-19T00:00:00"/>
    <d v="2024-12-24T00:00:00"/>
    <x v="0"/>
    <x v="5"/>
    <n v="5391"/>
    <x v="0"/>
    <x v="4"/>
    <s v="Nurse Kelly"/>
    <x v="0"/>
    <n v="5"/>
    <s v="Extended"/>
  </r>
  <r>
    <x v="242"/>
    <x v="242"/>
    <n v="41"/>
    <x v="0"/>
    <d v="2025-01-04T00:00:00"/>
    <d v="2025-01-14T00:00:00"/>
    <x v="2"/>
    <x v="7"/>
    <n v="7352"/>
    <x v="1"/>
    <x v="4"/>
    <s v="Nurse Allen"/>
    <x v="2"/>
    <n v="10"/>
    <s v="Extended"/>
  </r>
  <r>
    <x v="243"/>
    <x v="243"/>
    <n v="90"/>
    <x v="1"/>
    <d v="2024-09-22T00:00:00"/>
    <d v="2024-10-03T00:00:00"/>
    <x v="6"/>
    <x v="8"/>
    <n v="1228"/>
    <x v="1"/>
    <x v="1"/>
    <s v="Nurse Allen"/>
    <x v="2"/>
    <n v="11"/>
    <s v="Extended"/>
  </r>
  <r>
    <x v="244"/>
    <x v="244"/>
    <n v="12"/>
    <x v="0"/>
    <d v="2024-06-27T00:00:00"/>
    <d v="2024-07-03T00:00:00"/>
    <x v="0"/>
    <x v="7"/>
    <n v="4189"/>
    <x v="1"/>
    <x v="5"/>
    <s v="Nurse Lisa"/>
    <x v="0"/>
    <n v="6"/>
    <s v="Extended"/>
  </r>
  <r>
    <x v="245"/>
    <x v="245"/>
    <n v="25"/>
    <x v="0"/>
    <d v="2024-12-02T00:00:00"/>
    <d v="2024-12-08T00:00:00"/>
    <x v="3"/>
    <x v="7"/>
    <n v="5119"/>
    <x v="1"/>
    <x v="3"/>
    <s v="Nurse Kelly"/>
    <x v="0"/>
    <n v="6"/>
    <s v="Extended"/>
  </r>
  <r>
    <x v="246"/>
    <x v="246"/>
    <n v="86"/>
    <x v="1"/>
    <d v="2025-01-10T00:00:00"/>
    <d v="2025-01-22T00:00:00"/>
    <x v="3"/>
    <x v="2"/>
    <n v="9343"/>
    <x v="0"/>
    <x v="1"/>
    <s v="Nurse Mia"/>
    <x v="0"/>
    <n v="12"/>
    <s v="Extended"/>
  </r>
  <r>
    <x v="247"/>
    <x v="247"/>
    <n v="88"/>
    <x v="1"/>
    <d v="2024-07-15T00:00:00"/>
    <d v="2024-07-22T00:00:00"/>
    <x v="2"/>
    <x v="8"/>
    <n v="5603"/>
    <x v="1"/>
    <x v="0"/>
    <s v="Nurse John"/>
    <x v="1"/>
    <n v="7"/>
    <s v="Extended"/>
  </r>
  <r>
    <x v="248"/>
    <x v="248"/>
    <n v="27"/>
    <x v="1"/>
    <d v="2025-03-01T00:00:00"/>
    <d v="2025-03-02T00:00:00"/>
    <x v="4"/>
    <x v="9"/>
    <n v="8008"/>
    <x v="0"/>
    <x v="3"/>
    <s v="Nurse Lisa"/>
    <x v="1"/>
    <n v="1"/>
    <s v="Normal"/>
  </r>
  <r>
    <x v="249"/>
    <x v="249"/>
    <n v="66"/>
    <x v="0"/>
    <d v="2025-01-14T00:00:00"/>
    <d v="2025-01-26T00:00:00"/>
    <x v="3"/>
    <x v="9"/>
    <n v="4227"/>
    <x v="1"/>
    <x v="6"/>
    <s v="Nurse Rita"/>
    <x v="2"/>
    <n v="12"/>
    <s v="Extended"/>
  </r>
  <r>
    <x v="250"/>
    <x v="250"/>
    <n v="4"/>
    <x v="0"/>
    <d v="2024-07-14T00:00:00"/>
    <d v="2024-07-24T00:00:00"/>
    <x v="0"/>
    <x v="8"/>
    <n v="6719"/>
    <x v="0"/>
    <x v="1"/>
    <s v="Nurse Allen"/>
    <x v="1"/>
    <n v="10"/>
    <s v="Extended"/>
  </r>
  <r>
    <x v="251"/>
    <x v="251"/>
    <n v="21"/>
    <x v="1"/>
    <d v="2025-02-28T00:00:00"/>
    <d v="2025-03-10T00:00:00"/>
    <x v="5"/>
    <x v="4"/>
    <n v="5731"/>
    <x v="1"/>
    <x v="2"/>
    <s v="Nurse Lisa"/>
    <x v="2"/>
    <n v="10"/>
    <s v="Extended"/>
  </r>
  <r>
    <x v="252"/>
    <x v="252"/>
    <n v="63"/>
    <x v="1"/>
    <d v="2024-10-26T00:00:00"/>
    <d v="2024-10-29T00:00:00"/>
    <x v="1"/>
    <x v="8"/>
    <n v="1979"/>
    <x v="0"/>
    <x v="5"/>
    <s v="Nurse Rita"/>
    <x v="2"/>
    <n v="3"/>
    <s v="Normal"/>
  </r>
  <r>
    <x v="253"/>
    <x v="253"/>
    <n v="71"/>
    <x v="0"/>
    <d v="2024-07-17T00:00:00"/>
    <d v="2024-07-25T00:00:00"/>
    <x v="1"/>
    <x v="7"/>
    <n v="6868"/>
    <x v="1"/>
    <x v="4"/>
    <s v="Nurse Allen"/>
    <x v="2"/>
    <n v="8"/>
    <s v="Extended"/>
  </r>
  <r>
    <x v="254"/>
    <x v="254"/>
    <n v="14"/>
    <x v="1"/>
    <d v="2024-07-12T00:00:00"/>
    <d v="2024-07-19T00:00:00"/>
    <x v="2"/>
    <x v="4"/>
    <n v="5443"/>
    <x v="0"/>
    <x v="1"/>
    <s v="Nurse Kelly"/>
    <x v="0"/>
    <n v="7"/>
    <s v="Extended"/>
  </r>
  <r>
    <x v="255"/>
    <x v="255"/>
    <n v="22"/>
    <x v="1"/>
    <d v="2025-03-25T00:00:00"/>
    <d v="2025-03-26T00:00:00"/>
    <x v="3"/>
    <x v="6"/>
    <n v="1730"/>
    <x v="0"/>
    <x v="6"/>
    <s v="Nurse Allen"/>
    <x v="2"/>
    <n v="1"/>
    <s v="Normal"/>
  </r>
  <r>
    <x v="256"/>
    <x v="256"/>
    <n v="5"/>
    <x v="0"/>
    <d v="2024-10-02T00:00:00"/>
    <d v="2024-10-11T00:00:00"/>
    <x v="3"/>
    <x v="6"/>
    <n v="7934"/>
    <x v="1"/>
    <x v="2"/>
    <s v="Nurse Kelly"/>
    <x v="0"/>
    <n v="9"/>
    <s v="Extended"/>
  </r>
  <r>
    <x v="257"/>
    <x v="257"/>
    <n v="43"/>
    <x v="1"/>
    <d v="2024-12-24T00:00:00"/>
    <d v="2024-12-28T00:00:00"/>
    <x v="0"/>
    <x v="1"/>
    <n v="5341"/>
    <x v="0"/>
    <x v="6"/>
    <s v="Nurse Allen"/>
    <x v="0"/>
    <n v="4"/>
    <s v="Extended"/>
  </r>
  <r>
    <x v="258"/>
    <x v="258"/>
    <n v="7"/>
    <x v="1"/>
    <d v="2024-11-13T00:00:00"/>
    <d v="2024-11-26T00:00:00"/>
    <x v="4"/>
    <x v="9"/>
    <n v="2091"/>
    <x v="1"/>
    <x v="3"/>
    <s v="Nurse Mia"/>
    <x v="0"/>
    <n v="13"/>
    <s v="Extended"/>
  </r>
  <r>
    <x v="259"/>
    <x v="259"/>
    <n v="33"/>
    <x v="1"/>
    <d v="2025-01-04T00:00:00"/>
    <d v="2025-01-06T00:00:00"/>
    <x v="6"/>
    <x v="1"/>
    <n v="4501"/>
    <x v="0"/>
    <x v="5"/>
    <s v="Nurse Mia"/>
    <x v="2"/>
    <n v="2"/>
    <s v="Normal"/>
  </r>
  <r>
    <x v="260"/>
    <x v="260"/>
    <n v="83"/>
    <x v="0"/>
    <d v="2024-08-08T00:00:00"/>
    <d v="2024-08-12T00:00:00"/>
    <x v="1"/>
    <x v="4"/>
    <n v="1116"/>
    <x v="1"/>
    <x v="6"/>
    <s v="Nurse Mia"/>
    <x v="2"/>
    <n v="4"/>
    <s v="Extended"/>
  </r>
  <r>
    <x v="261"/>
    <x v="261"/>
    <n v="90"/>
    <x v="0"/>
    <d v="2024-09-04T00:00:00"/>
    <d v="2024-09-18T00:00:00"/>
    <x v="1"/>
    <x v="9"/>
    <n v="1294"/>
    <x v="0"/>
    <x v="4"/>
    <s v="Nurse Zoe"/>
    <x v="0"/>
    <n v="14"/>
    <s v="Extended"/>
  </r>
  <r>
    <x v="262"/>
    <x v="262"/>
    <n v="82"/>
    <x v="0"/>
    <d v="2024-07-21T00:00:00"/>
    <d v="2024-07-26T00:00:00"/>
    <x v="4"/>
    <x v="1"/>
    <n v="7296"/>
    <x v="1"/>
    <x v="4"/>
    <s v="Nurse Zoe"/>
    <x v="2"/>
    <n v="5"/>
    <s v="Extended"/>
  </r>
  <r>
    <x v="263"/>
    <x v="263"/>
    <n v="8"/>
    <x v="0"/>
    <d v="2024-11-04T00:00:00"/>
    <d v="2024-11-13T00:00:00"/>
    <x v="3"/>
    <x v="6"/>
    <n v="6594"/>
    <x v="1"/>
    <x v="1"/>
    <s v="Nurse Rita"/>
    <x v="0"/>
    <n v="9"/>
    <s v="Extended"/>
  </r>
  <r>
    <x v="264"/>
    <x v="264"/>
    <n v="10"/>
    <x v="0"/>
    <d v="2024-12-22T00:00:00"/>
    <d v="2025-01-04T00:00:00"/>
    <x v="3"/>
    <x v="5"/>
    <n v="6841"/>
    <x v="0"/>
    <x v="3"/>
    <s v="Nurse Lisa"/>
    <x v="2"/>
    <n v="13"/>
    <s v="Extended"/>
  </r>
  <r>
    <x v="265"/>
    <x v="265"/>
    <n v="14"/>
    <x v="0"/>
    <d v="2024-07-04T00:00:00"/>
    <d v="2024-07-07T00:00:00"/>
    <x v="5"/>
    <x v="7"/>
    <n v="7842"/>
    <x v="1"/>
    <x v="0"/>
    <s v="Nurse Lisa"/>
    <x v="0"/>
    <n v="3"/>
    <s v="Normal"/>
  </r>
  <r>
    <x v="266"/>
    <x v="266"/>
    <n v="80"/>
    <x v="0"/>
    <d v="2025-03-10T00:00:00"/>
    <d v="2025-03-15T00:00:00"/>
    <x v="4"/>
    <x v="9"/>
    <n v="1070"/>
    <x v="1"/>
    <x v="4"/>
    <s v="Nurse Rita"/>
    <x v="0"/>
    <n v="5"/>
    <s v="Extended"/>
  </r>
  <r>
    <x v="267"/>
    <x v="267"/>
    <n v="50"/>
    <x v="0"/>
    <d v="2024-06-07T00:00:00"/>
    <d v="2024-06-10T00:00:00"/>
    <x v="3"/>
    <x v="8"/>
    <n v="7815"/>
    <x v="0"/>
    <x v="0"/>
    <s v="Nurse Kelly"/>
    <x v="0"/>
    <n v="3"/>
    <s v="Normal"/>
  </r>
  <r>
    <x v="268"/>
    <x v="268"/>
    <n v="15"/>
    <x v="1"/>
    <d v="2025-05-11T00:00:00"/>
    <d v="2025-05-18T00:00:00"/>
    <x v="6"/>
    <x v="3"/>
    <n v="3197"/>
    <x v="0"/>
    <x v="6"/>
    <s v="Nurse John"/>
    <x v="2"/>
    <n v="7"/>
    <s v="Extended"/>
  </r>
  <r>
    <x v="269"/>
    <x v="269"/>
    <n v="51"/>
    <x v="0"/>
    <d v="2025-05-29T00:00:00"/>
    <d v="2025-05-31T00:00:00"/>
    <x v="2"/>
    <x v="9"/>
    <n v="6502"/>
    <x v="1"/>
    <x v="3"/>
    <s v="Nurse Zoe"/>
    <x v="2"/>
    <n v="2"/>
    <s v="Normal"/>
  </r>
  <r>
    <x v="270"/>
    <x v="270"/>
    <n v="11"/>
    <x v="0"/>
    <d v="2024-07-09T00:00:00"/>
    <d v="2024-07-19T00:00:00"/>
    <x v="4"/>
    <x v="5"/>
    <n v="4022"/>
    <x v="0"/>
    <x v="2"/>
    <s v="Nurse Rita"/>
    <x v="1"/>
    <n v="10"/>
    <s v="Extended"/>
  </r>
  <r>
    <x v="271"/>
    <x v="271"/>
    <n v="76"/>
    <x v="1"/>
    <d v="2024-07-09T00:00:00"/>
    <d v="2024-07-15T00:00:00"/>
    <x v="3"/>
    <x v="0"/>
    <n v="9267"/>
    <x v="1"/>
    <x v="4"/>
    <s v="Nurse John"/>
    <x v="0"/>
    <n v="6"/>
    <s v="Extended"/>
  </r>
  <r>
    <x v="272"/>
    <x v="272"/>
    <n v="25"/>
    <x v="0"/>
    <d v="2025-05-19T00:00:00"/>
    <d v="2025-05-24T00:00:00"/>
    <x v="1"/>
    <x v="9"/>
    <n v="4972"/>
    <x v="0"/>
    <x v="0"/>
    <s v="Nurse Lisa"/>
    <x v="2"/>
    <n v="5"/>
    <s v="Extended"/>
  </r>
  <r>
    <x v="273"/>
    <x v="273"/>
    <n v="24"/>
    <x v="0"/>
    <d v="2025-02-04T00:00:00"/>
    <d v="2025-02-11T00:00:00"/>
    <x v="5"/>
    <x v="7"/>
    <n v="5875"/>
    <x v="1"/>
    <x v="1"/>
    <s v="Nurse Mia"/>
    <x v="1"/>
    <n v="7"/>
    <s v="Extended"/>
  </r>
  <r>
    <x v="274"/>
    <x v="274"/>
    <n v="3"/>
    <x v="0"/>
    <d v="2024-12-26T00:00:00"/>
    <d v="2025-01-02T00:00:00"/>
    <x v="2"/>
    <x v="1"/>
    <n v="3805"/>
    <x v="1"/>
    <x v="1"/>
    <s v="Nurse John"/>
    <x v="2"/>
    <n v="7"/>
    <s v="Extended"/>
  </r>
  <r>
    <x v="275"/>
    <x v="275"/>
    <n v="22"/>
    <x v="1"/>
    <d v="2024-08-12T00:00:00"/>
    <d v="2024-08-23T00:00:00"/>
    <x v="3"/>
    <x v="0"/>
    <n v="3473"/>
    <x v="0"/>
    <x v="0"/>
    <s v="Nurse Zoe"/>
    <x v="1"/>
    <n v="11"/>
    <s v="Extended"/>
  </r>
  <r>
    <x v="276"/>
    <x v="276"/>
    <n v="25"/>
    <x v="0"/>
    <d v="2025-02-11T00:00:00"/>
    <d v="2025-02-15T00:00:00"/>
    <x v="3"/>
    <x v="6"/>
    <n v="7776"/>
    <x v="1"/>
    <x v="1"/>
    <s v="Nurse Allen"/>
    <x v="0"/>
    <n v="4"/>
    <s v="Extended"/>
  </r>
  <r>
    <x v="277"/>
    <x v="277"/>
    <n v="11"/>
    <x v="1"/>
    <d v="2024-11-23T00:00:00"/>
    <d v="2024-12-05T00:00:00"/>
    <x v="6"/>
    <x v="6"/>
    <n v="7996"/>
    <x v="1"/>
    <x v="2"/>
    <s v="Nurse Kelly"/>
    <x v="0"/>
    <n v="12"/>
    <s v="Extended"/>
  </r>
  <r>
    <x v="278"/>
    <x v="278"/>
    <n v="85"/>
    <x v="1"/>
    <d v="2024-09-24T00:00:00"/>
    <d v="2024-10-03T00:00:00"/>
    <x v="3"/>
    <x v="0"/>
    <n v="7320"/>
    <x v="1"/>
    <x v="5"/>
    <s v="Nurse Allen"/>
    <x v="2"/>
    <n v="9"/>
    <s v="Extended"/>
  </r>
  <r>
    <x v="279"/>
    <x v="279"/>
    <n v="18"/>
    <x v="0"/>
    <d v="2024-09-19T00:00:00"/>
    <d v="2024-10-01T00:00:00"/>
    <x v="1"/>
    <x v="6"/>
    <n v="5635"/>
    <x v="0"/>
    <x v="6"/>
    <s v="Nurse Mia"/>
    <x v="1"/>
    <n v="12"/>
    <s v="Extended"/>
  </r>
  <r>
    <x v="280"/>
    <x v="280"/>
    <n v="5"/>
    <x v="0"/>
    <d v="2025-05-03T00:00:00"/>
    <d v="2025-05-08T00:00:00"/>
    <x v="1"/>
    <x v="4"/>
    <n v="3023"/>
    <x v="0"/>
    <x v="1"/>
    <s v="Nurse Mia"/>
    <x v="2"/>
    <n v="5"/>
    <s v="Extended"/>
  </r>
  <r>
    <x v="281"/>
    <x v="281"/>
    <n v="86"/>
    <x v="0"/>
    <d v="2024-07-01T00:00:00"/>
    <d v="2024-07-04T00:00:00"/>
    <x v="5"/>
    <x v="2"/>
    <n v="3811"/>
    <x v="1"/>
    <x v="0"/>
    <s v="Nurse John"/>
    <x v="1"/>
    <n v="3"/>
    <s v="Normal"/>
  </r>
  <r>
    <x v="282"/>
    <x v="282"/>
    <n v="34"/>
    <x v="0"/>
    <d v="2024-12-06T00:00:00"/>
    <d v="2024-12-19T00:00:00"/>
    <x v="6"/>
    <x v="1"/>
    <n v="3165"/>
    <x v="1"/>
    <x v="1"/>
    <s v="Nurse Kelly"/>
    <x v="0"/>
    <n v="13"/>
    <s v="Extended"/>
  </r>
  <r>
    <x v="283"/>
    <x v="283"/>
    <n v="35"/>
    <x v="0"/>
    <d v="2024-12-23T00:00:00"/>
    <d v="2024-12-27T00:00:00"/>
    <x v="5"/>
    <x v="8"/>
    <n v="9874"/>
    <x v="1"/>
    <x v="3"/>
    <s v="Nurse John"/>
    <x v="0"/>
    <n v="4"/>
    <s v="Extended"/>
  </r>
  <r>
    <x v="284"/>
    <x v="284"/>
    <n v="57"/>
    <x v="1"/>
    <d v="2024-08-16T00:00:00"/>
    <d v="2024-08-21T00:00:00"/>
    <x v="0"/>
    <x v="4"/>
    <n v="4549"/>
    <x v="1"/>
    <x v="4"/>
    <s v="Nurse Rita"/>
    <x v="1"/>
    <n v="5"/>
    <s v="Extended"/>
  </r>
  <r>
    <x v="285"/>
    <x v="285"/>
    <n v="29"/>
    <x v="0"/>
    <d v="2025-02-15T00:00:00"/>
    <d v="2025-02-17T00:00:00"/>
    <x v="4"/>
    <x v="2"/>
    <n v="7966"/>
    <x v="0"/>
    <x v="3"/>
    <s v="Nurse Mia"/>
    <x v="0"/>
    <n v="2"/>
    <s v="Normal"/>
  </r>
  <r>
    <x v="286"/>
    <x v="286"/>
    <n v="2"/>
    <x v="0"/>
    <d v="2024-07-31T00:00:00"/>
    <d v="2024-08-05T00:00:00"/>
    <x v="4"/>
    <x v="7"/>
    <n v="8504"/>
    <x v="1"/>
    <x v="4"/>
    <s v="Nurse John"/>
    <x v="1"/>
    <n v="5"/>
    <s v="Extended"/>
  </r>
  <r>
    <x v="287"/>
    <x v="287"/>
    <n v="79"/>
    <x v="0"/>
    <d v="2025-03-04T00:00:00"/>
    <d v="2025-03-08T00:00:00"/>
    <x v="5"/>
    <x v="9"/>
    <n v="7762"/>
    <x v="1"/>
    <x v="6"/>
    <s v="Nurse John"/>
    <x v="2"/>
    <n v="4"/>
    <s v="Extended"/>
  </r>
  <r>
    <x v="288"/>
    <x v="288"/>
    <n v="44"/>
    <x v="0"/>
    <d v="2024-12-12T00:00:00"/>
    <d v="2024-12-18T00:00:00"/>
    <x v="5"/>
    <x v="6"/>
    <n v="8465"/>
    <x v="1"/>
    <x v="6"/>
    <s v="Nurse Kelly"/>
    <x v="1"/>
    <n v="6"/>
    <s v="Extended"/>
  </r>
  <r>
    <x v="289"/>
    <x v="289"/>
    <n v="85"/>
    <x v="1"/>
    <d v="2025-03-24T00:00:00"/>
    <d v="2025-03-26T00:00:00"/>
    <x v="4"/>
    <x v="5"/>
    <n v="8700"/>
    <x v="1"/>
    <x v="2"/>
    <s v="Nurse Zoe"/>
    <x v="2"/>
    <n v="2"/>
    <s v="Normal"/>
  </r>
  <r>
    <x v="290"/>
    <x v="290"/>
    <n v="4"/>
    <x v="1"/>
    <d v="2025-04-12T00:00:00"/>
    <d v="2025-04-26T00:00:00"/>
    <x v="0"/>
    <x v="8"/>
    <n v="6391"/>
    <x v="1"/>
    <x v="2"/>
    <s v="Nurse Lisa"/>
    <x v="1"/>
    <n v="14"/>
    <s v="Extended"/>
  </r>
  <r>
    <x v="291"/>
    <x v="291"/>
    <n v="19"/>
    <x v="1"/>
    <d v="2025-02-23T00:00:00"/>
    <d v="2025-02-26T00:00:00"/>
    <x v="3"/>
    <x v="6"/>
    <n v="2736"/>
    <x v="1"/>
    <x v="3"/>
    <s v="Nurse Allen"/>
    <x v="2"/>
    <n v="3"/>
    <s v="Normal"/>
  </r>
  <r>
    <x v="292"/>
    <x v="292"/>
    <n v="7"/>
    <x v="1"/>
    <d v="2024-12-27T00:00:00"/>
    <d v="2025-01-01T00:00:00"/>
    <x v="0"/>
    <x v="8"/>
    <n v="2054"/>
    <x v="0"/>
    <x v="4"/>
    <s v="Nurse Lisa"/>
    <x v="0"/>
    <n v="5"/>
    <s v="Extended"/>
  </r>
  <r>
    <x v="293"/>
    <x v="293"/>
    <n v="75"/>
    <x v="0"/>
    <d v="2024-11-20T00:00:00"/>
    <d v="2024-11-22T00:00:00"/>
    <x v="4"/>
    <x v="9"/>
    <n v="2112"/>
    <x v="1"/>
    <x v="3"/>
    <s v="Nurse Rita"/>
    <x v="0"/>
    <n v="2"/>
    <s v="Normal"/>
  </r>
  <r>
    <x v="294"/>
    <x v="294"/>
    <n v="78"/>
    <x v="0"/>
    <d v="2024-10-25T00:00:00"/>
    <d v="2024-10-28T00:00:00"/>
    <x v="2"/>
    <x v="7"/>
    <n v="5979"/>
    <x v="0"/>
    <x v="6"/>
    <s v="Nurse Kelly"/>
    <x v="0"/>
    <n v="3"/>
    <s v="Normal"/>
  </r>
  <r>
    <x v="295"/>
    <x v="295"/>
    <n v="60"/>
    <x v="1"/>
    <d v="2025-05-05T00:00:00"/>
    <d v="2025-05-17T00:00:00"/>
    <x v="3"/>
    <x v="1"/>
    <n v="7410"/>
    <x v="0"/>
    <x v="6"/>
    <s v="Nurse Zoe"/>
    <x v="1"/>
    <n v="12"/>
    <s v="Extended"/>
  </r>
  <r>
    <x v="296"/>
    <x v="296"/>
    <n v="4"/>
    <x v="0"/>
    <d v="2025-03-01T00:00:00"/>
    <d v="2025-03-11T00:00:00"/>
    <x v="4"/>
    <x v="8"/>
    <n v="8332"/>
    <x v="1"/>
    <x v="6"/>
    <s v="Nurse Zoe"/>
    <x v="0"/>
    <n v="10"/>
    <s v="Extended"/>
  </r>
  <r>
    <x v="297"/>
    <x v="297"/>
    <n v="64"/>
    <x v="0"/>
    <d v="2024-12-14T00:00:00"/>
    <d v="2024-12-28T00:00:00"/>
    <x v="0"/>
    <x v="0"/>
    <n v="7125"/>
    <x v="0"/>
    <x v="5"/>
    <s v="Nurse Lisa"/>
    <x v="1"/>
    <n v="14"/>
    <s v="Extended"/>
  </r>
  <r>
    <x v="298"/>
    <x v="298"/>
    <n v="41"/>
    <x v="0"/>
    <d v="2024-06-26T00:00:00"/>
    <d v="2024-07-03T00:00:00"/>
    <x v="2"/>
    <x v="8"/>
    <n v="2647"/>
    <x v="1"/>
    <x v="6"/>
    <s v="Nurse Kelly"/>
    <x v="1"/>
    <n v="7"/>
    <s v="Extended"/>
  </r>
  <r>
    <x v="299"/>
    <x v="299"/>
    <n v="74"/>
    <x v="0"/>
    <d v="2024-06-24T00:00:00"/>
    <d v="2024-06-26T00:00:00"/>
    <x v="1"/>
    <x v="9"/>
    <n v="2350"/>
    <x v="0"/>
    <x v="0"/>
    <s v="Nurse Mia"/>
    <x v="2"/>
    <n v="2"/>
    <s v="Normal"/>
  </r>
  <r>
    <x v="300"/>
    <x v="300"/>
    <n v="65"/>
    <x v="0"/>
    <d v="2024-10-29T00:00:00"/>
    <d v="2024-11-01T00:00:00"/>
    <x v="5"/>
    <x v="7"/>
    <n v="4297"/>
    <x v="1"/>
    <x v="5"/>
    <s v="Nurse Lisa"/>
    <x v="0"/>
    <n v="3"/>
    <s v="Normal"/>
  </r>
  <r>
    <x v="301"/>
    <x v="301"/>
    <n v="70"/>
    <x v="0"/>
    <d v="2024-12-25T00:00:00"/>
    <d v="2025-01-07T00:00:00"/>
    <x v="4"/>
    <x v="4"/>
    <n v="8732"/>
    <x v="0"/>
    <x v="0"/>
    <s v="Nurse Rita"/>
    <x v="1"/>
    <n v="13"/>
    <s v="Extended"/>
  </r>
  <r>
    <x v="302"/>
    <x v="302"/>
    <n v="82"/>
    <x v="0"/>
    <d v="2025-01-30T00:00:00"/>
    <d v="2025-02-09T00:00:00"/>
    <x v="1"/>
    <x v="4"/>
    <n v="9299"/>
    <x v="1"/>
    <x v="3"/>
    <s v="Nurse Allen"/>
    <x v="2"/>
    <n v="10"/>
    <s v="Extended"/>
  </r>
  <r>
    <x v="303"/>
    <x v="303"/>
    <n v="14"/>
    <x v="0"/>
    <d v="2025-01-20T00:00:00"/>
    <d v="2025-01-28T00:00:00"/>
    <x v="6"/>
    <x v="4"/>
    <n v="8014"/>
    <x v="1"/>
    <x v="1"/>
    <s v="Nurse Zoe"/>
    <x v="1"/>
    <n v="8"/>
    <s v="Extended"/>
  </r>
  <r>
    <x v="304"/>
    <x v="304"/>
    <n v="43"/>
    <x v="0"/>
    <d v="2025-03-26T00:00:00"/>
    <d v="2025-04-08T00:00:00"/>
    <x v="0"/>
    <x v="6"/>
    <n v="7923"/>
    <x v="0"/>
    <x v="3"/>
    <s v="Nurse Lisa"/>
    <x v="1"/>
    <n v="13"/>
    <s v="Extended"/>
  </r>
  <r>
    <x v="305"/>
    <x v="305"/>
    <n v="82"/>
    <x v="0"/>
    <d v="2025-05-24T00:00:00"/>
    <d v="2025-05-30T00:00:00"/>
    <x v="0"/>
    <x v="1"/>
    <n v="9020"/>
    <x v="1"/>
    <x v="0"/>
    <s v="Nurse Zoe"/>
    <x v="1"/>
    <n v="6"/>
    <s v="Extended"/>
  </r>
  <r>
    <x v="306"/>
    <x v="306"/>
    <n v="12"/>
    <x v="0"/>
    <d v="2024-12-23T00:00:00"/>
    <d v="2024-12-29T00:00:00"/>
    <x v="6"/>
    <x v="7"/>
    <n v="9590"/>
    <x v="0"/>
    <x v="6"/>
    <s v="Nurse Kelly"/>
    <x v="1"/>
    <n v="6"/>
    <s v="Extended"/>
  </r>
  <r>
    <x v="307"/>
    <x v="307"/>
    <n v="10"/>
    <x v="1"/>
    <d v="2024-07-29T00:00:00"/>
    <d v="2024-08-07T00:00:00"/>
    <x v="4"/>
    <x v="2"/>
    <n v="7069"/>
    <x v="0"/>
    <x v="2"/>
    <s v="Nurse Rita"/>
    <x v="1"/>
    <n v="9"/>
    <s v="Extended"/>
  </r>
  <r>
    <x v="308"/>
    <x v="308"/>
    <n v="33"/>
    <x v="0"/>
    <d v="2025-03-23T00:00:00"/>
    <d v="2025-04-02T00:00:00"/>
    <x v="4"/>
    <x v="1"/>
    <n v="6784"/>
    <x v="0"/>
    <x v="5"/>
    <s v="Nurse Rita"/>
    <x v="0"/>
    <n v="10"/>
    <s v="Extended"/>
  </r>
  <r>
    <x v="309"/>
    <x v="309"/>
    <n v="86"/>
    <x v="1"/>
    <d v="2025-04-22T00:00:00"/>
    <d v="2025-05-03T00:00:00"/>
    <x v="1"/>
    <x v="3"/>
    <n v="1876"/>
    <x v="1"/>
    <x v="5"/>
    <s v="Nurse Allen"/>
    <x v="2"/>
    <n v="11"/>
    <s v="Extended"/>
  </r>
  <r>
    <x v="310"/>
    <x v="310"/>
    <n v="58"/>
    <x v="0"/>
    <d v="2024-12-11T00:00:00"/>
    <d v="2024-12-18T00:00:00"/>
    <x v="2"/>
    <x v="3"/>
    <n v="6434"/>
    <x v="0"/>
    <x v="6"/>
    <s v="Nurse Lisa"/>
    <x v="1"/>
    <n v="7"/>
    <s v="Extended"/>
  </r>
  <r>
    <x v="311"/>
    <x v="311"/>
    <n v="18"/>
    <x v="0"/>
    <d v="2025-03-21T00:00:00"/>
    <d v="2025-04-03T00:00:00"/>
    <x v="0"/>
    <x v="5"/>
    <n v="3602"/>
    <x v="0"/>
    <x v="0"/>
    <s v="Nurse Kelly"/>
    <x v="1"/>
    <n v="13"/>
    <s v="Extended"/>
  </r>
  <r>
    <x v="312"/>
    <x v="312"/>
    <n v="70"/>
    <x v="0"/>
    <d v="2024-09-02T00:00:00"/>
    <d v="2024-09-05T00:00:00"/>
    <x v="5"/>
    <x v="9"/>
    <n v="6123"/>
    <x v="1"/>
    <x v="5"/>
    <s v="Nurse Rita"/>
    <x v="2"/>
    <n v="3"/>
    <s v="Normal"/>
  </r>
  <r>
    <x v="313"/>
    <x v="313"/>
    <n v="16"/>
    <x v="1"/>
    <d v="2025-02-05T00:00:00"/>
    <d v="2025-02-18T00:00:00"/>
    <x v="3"/>
    <x v="8"/>
    <n v="2823"/>
    <x v="0"/>
    <x v="3"/>
    <s v="Nurse Rita"/>
    <x v="0"/>
    <n v="13"/>
    <s v="Extended"/>
  </r>
  <r>
    <x v="314"/>
    <x v="314"/>
    <n v="49"/>
    <x v="1"/>
    <d v="2024-10-26T00:00:00"/>
    <d v="2024-11-06T00:00:00"/>
    <x v="1"/>
    <x v="3"/>
    <n v="4608"/>
    <x v="0"/>
    <x v="0"/>
    <s v="Nurse Mia"/>
    <x v="2"/>
    <n v="11"/>
    <s v="Extended"/>
  </r>
  <r>
    <x v="315"/>
    <x v="315"/>
    <n v="43"/>
    <x v="1"/>
    <d v="2025-02-14T00:00:00"/>
    <d v="2025-02-16T00:00:00"/>
    <x v="3"/>
    <x v="8"/>
    <n v="8717"/>
    <x v="1"/>
    <x v="6"/>
    <s v="Nurse Rita"/>
    <x v="0"/>
    <n v="2"/>
    <s v="Normal"/>
  </r>
  <r>
    <x v="316"/>
    <x v="316"/>
    <n v="41"/>
    <x v="0"/>
    <d v="2024-12-13T00:00:00"/>
    <d v="2024-12-21T00:00:00"/>
    <x v="0"/>
    <x v="3"/>
    <n v="9690"/>
    <x v="1"/>
    <x v="5"/>
    <s v="Nurse Zoe"/>
    <x v="2"/>
    <n v="8"/>
    <s v="Extended"/>
  </r>
  <r>
    <x v="317"/>
    <x v="317"/>
    <n v="37"/>
    <x v="1"/>
    <d v="2024-10-03T00:00:00"/>
    <d v="2024-10-05T00:00:00"/>
    <x v="1"/>
    <x v="3"/>
    <n v="8037"/>
    <x v="0"/>
    <x v="3"/>
    <s v="Nurse Kelly"/>
    <x v="2"/>
    <n v="2"/>
    <s v="Normal"/>
  </r>
  <r>
    <x v="318"/>
    <x v="318"/>
    <n v="79"/>
    <x v="0"/>
    <d v="2025-04-07T00:00:00"/>
    <d v="2025-04-12T00:00:00"/>
    <x v="4"/>
    <x v="2"/>
    <n v="3411"/>
    <x v="0"/>
    <x v="0"/>
    <s v="Nurse Zoe"/>
    <x v="1"/>
    <n v="5"/>
    <s v="Extended"/>
  </r>
  <r>
    <x v="319"/>
    <x v="319"/>
    <n v="17"/>
    <x v="1"/>
    <d v="2024-11-08T00:00:00"/>
    <d v="2024-11-15T00:00:00"/>
    <x v="3"/>
    <x v="1"/>
    <n v="4634"/>
    <x v="1"/>
    <x v="2"/>
    <s v="Nurse Mia"/>
    <x v="2"/>
    <n v="7"/>
    <s v="Extended"/>
  </r>
  <r>
    <x v="320"/>
    <x v="320"/>
    <n v="4"/>
    <x v="0"/>
    <d v="2024-09-10T00:00:00"/>
    <d v="2024-09-11T00:00:00"/>
    <x v="2"/>
    <x v="4"/>
    <n v="9117"/>
    <x v="1"/>
    <x v="2"/>
    <s v="Nurse Zoe"/>
    <x v="1"/>
    <n v="1"/>
    <s v="Normal"/>
  </r>
  <r>
    <x v="321"/>
    <x v="321"/>
    <n v="39"/>
    <x v="1"/>
    <d v="2025-04-29T00:00:00"/>
    <d v="2025-05-10T00:00:00"/>
    <x v="2"/>
    <x v="0"/>
    <n v="2896"/>
    <x v="1"/>
    <x v="3"/>
    <s v="Nurse Lisa"/>
    <x v="0"/>
    <n v="11"/>
    <s v="Extended"/>
  </r>
  <r>
    <x v="322"/>
    <x v="322"/>
    <n v="7"/>
    <x v="0"/>
    <d v="2024-11-23T00:00:00"/>
    <d v="2024-12-02T00:00:00"/>
    <x v="6"/>
    <x v="2"/>
    <n v="9706"/>
    <x v="1"/>
    <x v="5"/>
    <s v="Nurse Mia"/>
    <x v="1"/>
    <n v="9"/>
    <s v="Extended"/>
  </r>
  <r>
    <x v="323"/>
    <x v="323"/>
    <n v="87"/>
    <x v="1"/>
    <d v="2024-06-15T00:00:00"/>
    <d v="2024-06-21T00:00:00"/>
    <x v="3"/>
    <x v="2"/>
    <n v="1908"/>
    <x v="0"/>
    <x v="3"/>
    <s v="Nurse Lisa"/>
    <x v="1"/>
    <n v="6"/>
    <s v="Extended"/>
  </r>
  <r>
    <x v="324"/>
    <x v="324"/>
    <n v="54"/>
    <x v="1"/>
    <d v="2025-04-03T00:00:00"/>
    <d v="2025-04-07T00:00:00"/>
    <x v="2"/>
    <x v="8"/>
    <n v="8160"/>
    <x v="1"/>
    <x v="5"/>
    <s v="Nurse Allen"/>
    <x v="1"/>
    <n v="4"/>
    <s v="Extended"/>
  </r>
  <r>
    <x v="325"/>
    <x v="325"/>
    <n v="66"/>
    <x v="0"/>
    <d v="2024-06-20T00:00:00"/>
    <d v="2024-07-04T00:00:00"/>
    <x v="4"/>
    <x v="1"/>
    <n v="8809"/>
    <x v="1"/>
    <x v="4"/>
    <s v="Nurse Rita"/>
    <x v="2"/>
    <n v="14"/>
    <s v="Extended"/>
  </r>
  <r>
    <x v="326"/>
    <x v="326"/>
    <n v="60"/>
    <x v="1"/>
    <d v="2024-09-24T00:00:00"/>
    <d v="2024-10-01T00:00:00"/>
    <x v="1"/>
    <x v="5"/>
    <n v="7229"/>
    <x v="1"/>
    <x v="4"/>
    <s v="Nurse Mia"/>
    <x v="1"/>
    <n v="7"/>
    <s v="Extended"/>
  </r>
  <r>
    <x v="327"/>
    <x v="327"/>
    <n v="61"/>
    <x v="0"/>
    <d v="2024-09-21T00:00:00"/>
    <d v="2024-09-30T00:00:00"/>
    <x v="2"/>
    <x v="3"/>
    <n v="5062"/>
    <x v="1"/>
    <x v="0"/>
    <s v="Nurse Mia"/>
    <x v="0"/>
    <n v="9"/>
    <s v="Extended"/>
  </r>
  <r>
    <x v="328"/>
    <x v="328"/>
    <n v="43"/>
    <x v="1"/>
    <d v="2024-07-17T00:00:00"/>
    <d v="2024-07-26T00:00:00"/>
    <x v="0"/>
    <x v="1"/>
    <n v="5439"/>
    <x v="1"/>
    <x v="3"/>
    <s v="Nurse Zoe"/>
    <x v="0"/>
    <n v="9"/>
    <s v="Extended"/>
  </r>
  <r>
    <x v="329"/>
    <x v="329"/>
    <n v="57"/>
    <x v="1"/>
    <d v="2025-01-08T00:00:00"/>
    <d v="2025-01-21T00:00:00"/>
    <x v="6"/>
    <x v="4"/>
    <n v="7441"/>
    <x v="0"/>
    <x v="2"/>
    <s v="Nurse Rita"/>
    <x v="2"/>
    <n v="13"/>
    <s v="Extended"/>
  </r>
  <r>
    <x v="330"/>
    <x v="330"/>
    <n v="23"/>
    <x v="0"/>
    <d v="2025-02-15T00:00:00"/>
    <d v="2025-02-19T00:00:00"/>
    <x v="4"/>
    <x v="9"/>
    <n v="8140"/>
    <x v="0"/>
    <x v="4"/>
    <s v="Nurse Mia"/>
    <x v="1"/>
    <n v="4"/>
    <s v="Extended"/>
  </r>
  <r>
    <x v="331"/>
    <x v="331"/>
    <n v="87"/>
    <x v="1"/>
    <d v="2025-01-24T00:00:00"/>
    <d v="2025-01-28T00:00:00"/>
    <x v="0"/>
    <x v="7"/>
    <n v="2590"/>
    <x v="1"/>
    <x v="3"/>
    <s v="Nurse John"/>
    <x v="0"/>
    <n v="4"/>
    <s v="Extended"/>
  </r>
  <r>
    <x v="332"/>
    <x v="332"/>
    <n v="30"/>
    <x v="0"/>
    <d v="2024-09-13T00:00:00"/>
    <d v="2024-09-22T00:00:00"/>
    <x v="6"/>
    <x v="1"/>
    <n v="5812"/>
    <x v="1"/>
    <x v="4"/>
    <s v="Nurse Mia"/>
    <x v="1"/>
    <n v="9"/>
    <s v="Extended"/>
  </r>
  <r>
    <x v="333"/>
    <x v="333"/>
    <n v="33"/>
    <x v="0"/>
    <d v="2024-11-25T00:00:00"/>
    <d v="2024-11-27T00:00:00"/>
    <x v="4"/>
    <x v="1"/>
    <n v="6813"/>
    <x v="0"/>
    <x v="5"/>
    <s v="Nurse Lisa"/>
    <x v="1"/>
    <n v="2"/>
    <s v="Normal"/>
  </r>
  <r>
    <x v="334"/>
    <x v="334"/>
    <n v="43"/>
    <x v="1"/>
    <d v="2024-10-25T00:00:00"/>
    <d v="2024-11-07T00:00:00"/>
    <x v="5"/>
    <x v="3"/>
    <n v="8275"/>
    <x v="0"/>
    <x v="6"/>
    <s v="Nurse Zoe"/>
    <x v="2"/>
    <n v="13"/>
    <s v="Extended"/>
  </r>
  <r>
    <x v="335"/>
    <x v="335"/>
    <n v="84"/>
    <x v="1"/>
    <d v="2024-06-02T00:00:00"/>
    <d v="2024-06-03T00:00:00"/>
    <x v="4"/>
    <x v="5"/>
    <n v="2723"/>
    <x v="0"/>
    <x v="0"/>
    <s v="Nurse Zoe"/>
    <x v="1"/>
    <n v="1"/>
    <s v="Normal"/>
  </r>
  <r>
    <x v="336"/>
    <x v="336"/>
    <n v="74"/>
    <x v="0"/>
    <d v="2025-05-22T00:00:00"/>
    <d v="2025-06-04T00:00:00"/>
    <x v="4"/>
    <x v="9"/>
    <n v="9695"/>
    <x v="0"/>
    <x v="0"/>
    <s v="Nurse Mia"/>
    <x v="0"/>
    <n v="13"/>
    <s v="Extended"/>
  </r>
  <r>
    <x v="337"/>
    <x v="337"/>
    <n v="22"/>
    <x v="0"/>
    <d v="2025-03-14T00:00:00"/>
    <d v="2025-03-25T00:00:00"/>
    <x v="6"/>
    <x v="9"/>
    <n v="1184"/>
    <x v="0"/>
    <x v="5"/>
    <s v="Nurse Zoe"/>
    <x v="2"/>
    <n v="11"/>
    <s v="Extended"/>
  </r>
  <r>
    <x v="338"/>
    <x v="338"/>
    <n v="49"/>
    <x v="0"/>
    <d v="2024-06-22T00:00:00"/>
    <d v="2024-07-02T00:00:00"/>
    <x v="2"/>
    <x v="7"/>
    <n v="9954"/>
    <x v="1"/>
    <x v="2"/>
    <s v="Nurse Mia"/>
    <x v="0"/>
    <n v="10"/>
    <s v="Extended"/>
  </r>
  <r>
    <x v="339"/>
    <x v="339"/>
    <n v="90"/>
    <x v="1"/>
    <d v="2025-05-14T00:00:00"/>
    <d v="2025-05-20T00:00:00"/>
    <x v="2"/>
    <x v="5"/>
    <n v="1460"/>
    <x v="1"/>
    <x v="6"/>
    <s v="Nurse Allen"/>
    <x v="0"/>
    <n v="6"/>
    <s v="Extended"/>
  </r>
  <r>
    <x v="340"/>
    <x v="340"/>
    <n v="28"/>
    <x v="1"/>
    <d v="2025-02-05T00:00:00"/>
    <d v="2025-02-15T00:00:00"/>
    <x v="3"/>
    <x v="0"/>
    <n v="8440"/>
    <x v="1"/>
    <x v="3"/>
    <s v="Nurse Kelly"/>
    <x v="2"/>
    <n v="10"/>
    <s v="Extended"/>
  </r>
  <r>
    <x v="341"/>
    <x v="341"/>
    <n v="73"/>
    <x v="0"/>
    <d v="2025-02-23T00:00:00"/>
    <d v="2025-03-02T00:00:00"/>
    <x v="5"/>
    <x v="5"/>
    <n v="4898"/>
    <x v="0"/>
    <x v="3"/>
    <s v="Nurse Kelly"/>
    <x v="2"/>
    <n v="7"/>
    <s v="Extended"/>
  </r>
  <r>
    <x v="342"/>
    <x v="342"/>
    <n v="3"/>
    <x v="0"/>
    <d v="2024-07-20T00:00:00"/>
    <d v="2024-08-01T00:00:00"/>
    <x v="0"/>
    <x v="6"/>
    <n v="2091"/>
    <x v="1"/>
    <x v="4"/>
    <s v="Nurse Kelly"/>
    <x v="2"/>
    <n v="12"/>
    <s v="Extended"/>
  </r>
  <r>
    <x v="343"/>
    <x v="343"/>
    <n v="35"/>
    <x v="1"/>
    <d v="2025-03-02T00:00:00"/>
    <d v="2025-03-05T00:00:00"/>
    <x v="2"/>
    <x v="4"/>
    <n v="6420"/>
    <x v="1"/>
    <x v="2"/>
    <s v="Nurse John"/>
    <x v="1"/>
    <n v="3"/>
    <s v="Normal"/>
  </r>
  <r>
    <x v="344"/>
    <x v="344"/>
    <n v="5"/>
    <x v="1"/>
    <d v="2024-12-16T00:00:00"/>
    <d v="2024-12-26T00:00:00"/>
    <x v="6"/>
    <x v="7"/>
    <n v="6420"/>
    <x v="0"/>
    <x v="6"/>
    <s v="Nurse Zoe"/>
    <x v="0"/>
    <n v="10"/>
    <s v="Extended"/>
  </r>
  <r>
    <x v="345"/>
    <x v="345"/>
    <n v="3"/>
    <x v="0"/>
    <d v="2025-05-06T00:00:00"/>
    <d v="2025-05-13T00:00:00"/>
    <x v="5"/>
    <x v="9"/>
    <n v="4989"/>
    <x v="1"/>
    <x v="0"/>
    <s v="Nurse Rita"/>
    <x v="2"/>
    <n v="7"/>
    <s v="Extended"/>
  </r>
  <r>
    <x v="346"/>
    <x v="346"/>
    <n v="70"/>
    <x v="1"/>
    <d v="2024-10-02T00:00:00"/>
    <d v="2024-10-10T00:00:00"/>
    <x v="4"/>
    <x v="2"/>
    <n v="2061"/>
    <x v="1"/>
    <x v="3"/>
    <s v="Nurse Kelly"/>
    <x v="2"/>
    <n v="8"/>
    <s v="Extended"/>
  </r>
  <r>
    <x v="347"/>
    <x v="347"/>
    <n v="57"/>
    <x v="1"/>
    <d v="2025-04-28T00:00:00"/>
    <d v="2025-05-02T00:00:00"/>
    <x v="3"/>
    <x v="9"/>
    <n v="3840"/>
    <x v="1"/>
    <x v="2"/>
    <s v="Nurse John"/>
    <x v="1"/>
    <n v="4"/>
    <s v="Extended"/>
  </r>
  <r>
    <x v="348"/>
    <x v="348"/>
    <n v="60"/>
    <x v="0"/>
    <d v="2025-04-27T00:00:00"/>
    <d v="2025-05-01T00:00:00"/>
    <x v="5"/>
    <x v="0"/>
    <n v="3237"/>
    <x v="1"/>
    <x v="0"/>
    <s v="Nurse Lisa"/>
    <x v="2"/>
    <n v="4"/>
    <s v="Extended"/>
  </r>
  <r>
    <x v="349"/>
    <x v="349"/>
    <n v="2"/>
    <x v="0"/>
    <d v="2025-03-11T00:00:00"/>
    <d v="2025-03-20T00:00:00"/>
    <x v="2"/>
    <x v="7"/>
    <n v="3504"/>
    <x v="1"/>
    <x v="4"/>
    <s v="Nurse Kelly"/>
    <x v="2"/>
    <n v="9"/>
    <s v="Extended"/>
  </r>
  <r>
    <x v="350"/>
    <x v="350"/>
    <n v="59"/>
    <x v="1"/>
    <d v="2024-07-20T00:00:00"/>
    <d v="2024-07-21T00:00:00"/>
    <x v="4"/>
    <x v="2"/>
    <n v="3401"/>
    <x v="1"/>
    <x v="1"/>
    <s v="Nurse Lisa"/>
    <x v="0"/>
    <n v="1"/>
    <s v="Normal"/>
  </r>
  <r>
    <x v="351"/>
    <x v="351"/>
    <n v="78"/>
    <x v="1"/>
    <d v="2024-08-24T00:00:00"/>
    <d v="2024-08-30T00:00:00"/>
    <x v="5"/>
    <x v="4"/>
    <n v="2721"/>
    <x v="0"/>
    <x v="0"/>
    <s v="Nurse Lisa"/>
    <x v="2"/>
    <n v="6"/>
    <s v="Extended"/>
  </r>
  <r>
    <x v="352"/>
    <x v="352"/>
    <n v="78"/>
    <x v="1"/>
    <d v="2024-09-26T00:00:00"/>
    <d v="2024-10-07T00:00:00"/>
    <x v="6"/>
    <x v="7"/>
    <n v="8233"/>
    <x v="1"/>
    <x v="5"/>
    <s v="Nurse Allen"/>
    <x v="1"/>
    <n v="11"/>
    <s v="Extended"/>
  </r>
  <r>
    <x v="353"/>
    <x v="353"/>
    <n v="6"/>
    <x v="1"/>
    <d v="2024-10-02T00:00:00"/>
    <d v="2024-10-07T00:00:00"/>
    <x v="3"/>
    <x v="0"/>
    <n v="2070"/>
    <x v="0"/>
    <x v="1"/>
    <s v="Nurse Zoe"/>
    <x v="0"/>
    <n v="5"/>
    <s v="Extended"/>
  </r>
  <r>
    <x v="354"/>
    <x v="354"/>
    <n v="58"/>
    <x v="1"/>
    <d v="2025-01-02T00:00:00"/>
    <d v="2025-01-11T00:00:00"/>
    <x v="0"/>
    <x v="1"/>
    <n v="9276"/>
    <x v="1"/>
    <x v="6"/>
    <s v="Nurse Kelly"/>
    <x v="0"/>
    <n v="9"/>
    <s v="Extended"/>
  </r>
  <r>
    <x v="355"/>
    <x v="355"/>
    <n v="78"/>
    <x v="1"/>
    <d v="2024-11-15T00:00:00"/>
    <d v="2024-11-18T00:00:00"/>
    <x v="3"/>
    <x v="2"/>
    <n v="6298"/>
    <x v="0"/>
    <x v="6"/>
    <s v="Nurse Kelly"/>
    <x v="2"/>
    <n v="3"/>
    <s v="Normal"/>
  </r>
  <r>
    <x v="356"/>
    <x v="356"/>
    <n v="27"/>
    <x v="1"/>
    <d v="2024-09-27T00:00:00"/>
    <d v="2024-10-01T00:00:00"/>
    <x v="4"/>
    <x v="5"/>
    <n v="7075"/>
    <x v="0"/>
    <x v="2"/>
    <s v="Nurse Mia"/>
    <x v="0"/>
    <n v="4"/>
    <s v="Extended"/>
  </r>
  <r>
    <x v="357"/>
    <x v="357"/>
    <n v="31"/>
    <x v="0"/>
    <d v="2024-07-22T00:00:00"/>
    <d v="2024-07-28T00:00:00"/>
    <x v="0"/>
    <x v="2"/>
    <n v="2471"/>
    <x v="0"/>
    <x v="4"/>
    <s v="Nurse Rita"/>
    <x v="1"/>
    <n v="6"/>
    <s v="Extended"/>
  </r>
  <r>
    <x v="358"/>
    <x v="358"/>
    <n v="1"/>
    <x v="1"/>
    <d v="2024-10-06T00:00:00"/>
    <d v="2024-10-16T00:00:00"/>
    <x v="5"/>
    <x v="5"/>
    <n v="2172"/>
    <x v="0"/>
    <x v="1"/>
    <s v="Nurse Allen"/>
    <x v="0"/>
    <n v="10"/>
    <s v="Extended"/>
  </r>
  <r>
    <x v="359"/>
    <x v="359"/>
    <n v="54"/>
    <x v="0"/>
    <d v="2024-11-26T00:00:00"/>
    <d v="2024-12-01T00:00:00"/>
    <x v="3"/>
    <x v="8"/>
    <n v="7761"/>
    <x v="1"/>
    <x v="6"/>
    <s v="Nurse Zoe"/>
    <x v="2"/>
    <n v="5"/>
    <s v="Extended"/>
  </r>
  <r>
    <x v="360"/>
    <x v="360"/>
    <n v="59"/>
    <x v="1"/>
    <d v="2024-07-06T00:00:00"/>
    <d v="2024-07-19T00:00:00"/>
    <x v="3"/>
    <x v="0"/>
    <n v="7508"/>
    <x v="0"/>
    <x v="1"/>
    <s v="Nurse Kelly"/>
    <x v="1"/>
    <n v="13"/>
    <s v="Extended"/>
  </r>
  <r>
    <x v="361"/>
    <x v="361"/>
    <n v="16"/>
    <x v="0"/>
    <d v="2024-07-03T00:00:00"/>
    <d v="2024-07-05T00:00:00"/>
    <x v="4"/>
    <x v="4"/>
    <n v="7448"/>
    <x v="0"/>
    <x v="3"/>
    <s v="Nurse Rita"/>
    <x v="2"/>
    <n v="2"/>
    <s v="Normal"/>
  </r>
  <r>
    <x v="362"/>
    <x v="362"/>
    <n v="75"/>
    <x v="0"/>
    <d v="2024-07-05T00:00:00"/>
    <d v="2024-07-10T00:00:00"/>
    <x v="6"/>
    <x v="9"/>
    <n v="7993"/>
    <x v="1"/>
    <x v="4"/>
    <s v="Nurse Zoe"/>
    <x v="0"/>
    <n v="5"/>
    <s v="Extended"/>
  </r>
  <r>
    <x v="363"/>
    <x v="363"/>
    <n v="21"/>
    <x v="0"/>
    <d v="2024-10-23T00:00:00"/>
    <d v="2024-10-27T00:00:00"/>
    <x v="1"/>
    <x v="5"/>
    <n v="2851"/>
    <x v="1"/>
    <x v="4"/>
    <s v="Nurse Mia"/>
    <x v="2"/>
    <n v="4"/>
    <s v="Extended"/>
  </r>
  <r>
    <x v="364"/>
    <x v="364"/>
    <n v="48"/>
    <x v="1"/>
    <d v="2024-07-22T00:00:00"/>
    <d v="2024-07-31T00:00:00"/>
    <x v="3"/>
    <x v="9"/>
    <n v="5990"/>
    <x v="0"/>
    <x v="4"/>
    <s v="Nurse Kelly"/>
    <x v="2"/>
    <n v="9"/>
    <s v="Extended"/>
  </r>
  <r>
    <x v="365"/>
    <x v="365"/>
    <n v="9"/>
    <x v="0"/>
    <d v="2025-01-31T00:00:00"/>
    <d v="2025-02-14T00:00:00"/>
    <x v="2"/>
    <x v="8"/>
    <n v="3425"/>
    <x v="1"/>
    <x v="5"/>
    <s v="Nurse Zoe"/>
    <x v="0"/>
    <n v="14"/>
    <s v="Extended"/>
  </r>
  <r>
    <x v="366"/>
    <x v="366"/>
    <n v="14"/>
    <x v="0"/>
    <d v="2025-01-07T00:00:00"/>
    <d v="2025-01-16T00:00:00"/>
    <x v="3"/>
    <x v="4"/>
    <n v="5132"/>
    <x v="1"/>
    <x v="6"/>
    <s v="Nurse Lisa"/>
    <x v="0"/>
    <n v="9"/>
    <s v="Extended"/>
  </r>
  <r>
    <x v="367"/>
    <x v="367"/>
    <n v="36"/>
    <x v="1"/>
    <d v="2025-02-14T00:00:00"/>
    <d v="2025-02-19T00:00:00"/>
    <x v="2"/>
    <x v="7"/>
    <n v="9164"/>
    <x v="0"/>
    <x v="2"/>
    <s v="Nurse Mia"/>
    <x v="0"/>
    <n v="5"/>
    <s v="Extended"/>
  </r>
  <r>
    <x v="368"/>
    <x v="368"/>
    <n v="79"/>
    <x v="1"/>
    <d v="2025-03-07T00:00:00"/>
    <d v="2025-03-16T00:00:00"/>
    <x v="0"/>
    <x v="2"/>
    <n v="7854"/>
    <x v="0"/>
    <x v="1"/>
    <s v="Nurse Kelly"/>
    <x v="0"/>
    <n v="9"/>
    <s v="Extended"/>
  </r>
  <r>
    <x v="369"/>
    <x v="369"/>
    <n v="44"/>
    <x v="0"/>
    <d v="2024-05-30T00:00:00"/>
    <d v="2024-06-11T00:00:00"/>
    <x v="2"/>
    <x v="0"/>
    <n v="1460"/>
    <x v="1"/>
    <x v="1"/>
    <s v="Nurse Zoe"/>
    <x v="1"/>
    <n v="12"/>
    <s v="Extended"/>
  </r>
  <r>
    <x v="370"/>
    <x v="370"/>
    <n v="54"/>
    <x v="0"/>
    <d v="2025-01-19T00:00:00"/>
    <d v="2025-01-24T00:00:00"/>
    <x v="6"/>
    <x v="4"/>
    <n v="7607"/>
    <x v="1"/>
    <x v="2"/>
    <s v="Nurse Kelly"/>
    <x v="2"/>
    <n v="5"/>
    <s v="Extended"/>
  </r>
  <r>
    <x v="371"/>
    <x v="371"/>
    <n v="55"/>
    <x v="0"/>
    <d v="2024-12-19T00:00:00"/>
    <d v="2024-12-23T00:00:00"/>
    <x v="1"/>
    <x v="9"/>
    <n v="1232"/>
    <x v="0"/>
    <x v="0"/>
    <s v="Nurse Allen"/>
    <x v="1"/>
    <n v="4"/>
    <s v="Extended"/>
  </r>
  <r>
    <x v="372"/>
    <x v="372"/>
    <n v="71"/>
    <x v="1"/>
    <d v="2025-01-18T00:00:00"/>
    <d v="2025-01-23T00:00:00"/>
    <x v="2"/>
    <x v="4"/>
    <n v="6970"/>
    <x v="0"/>
    <x v="2"/>
    <s v="Nurse Kelly"/>
    <x v="2"/>
    <n v="5"/>
    <s v="Extended"/>
  </r>
  <r>
    <x v="373"/>
    <x v="373"/>
    <n v="65"/>
    <x v="0"/>
    <d v="2025-04-17T00:00:00"/>
    <d v="2025-04-27T00:00:00"/>
    <x v="4"/>
    <x v="3"/>
    <n v="1560"/>
    <x v="0"/>
    <x v="4"/>
    <s v="Nurse Kelly"/>
    <x v="1"/>
    <n v="10"/>
    <s v="Extended"/>
  </r>
  <r>
    <x v="374"/>
    <x v="374"/>
    <n v="3"/>
    <x v="0"/>
    <d v="2024-09-28T00:00:00"/>
    <d v="2024-10-07T00:00:00"/>
    <x v="0"/>
    <x v="9"/>
    <n v="8146"/>
    <x v="0"/>
    <x v="2"/>
    <s v="Nurse Zoe"/>
    <x v="1"/>
    <n v="9"/>
    <s v="Extended"/>
  </r>
  <r>
    <x v="375"/>
    <x v="375"/>
    <n v="25"/>
    <x v="1"/>
    <d v="2025-05-28T00:00:00"/>
    <d v="2025-05-30T00:00:00"/>
    <x v="6"/>
    <x v="8"/>
    <n v="4169"/>
    <x v="1"/>
    <x v="4"/>
    <s v="Nurse Zoe"/>
    <x v="2"/>
    <n v="2"/>
    <s v="Normal"/>
  </r>
  <r>
    <x v="376"/>
    <x v="376"/>
    <n v="82"/>
    <x v="1"/>
    <d v="2024-06-13T00:00:00"/>
    <d v="2024-06-22T00:00:00"/>
    <x v="5"/>
    <x v="3"/>
    <n v="3164"/>
    <x v="0"/>
    <x v="0"/>
    <s v="Nurse Lisa"/>
    <x v="0"/>
    <n v="9"/>
    <s v="Extended"/>
  </r>
  <r>
    <x v="377"/>
    <x v="377"/>
    <n v="9"/>
    <x v="0"/>
    <d v="2024-07-10T00:00:00"/>
    <d v="2024-07-21T00:00:00"/>
    <x v="1"/>
    <x v="0"/>
    <n v="9077"/>
    <x v="1"/>
    <x v="2"/>
    <s v="Nurse Mia"/>
    <x v="1"/>
    <n v="11"/>
    <s v="Extended"/>
  </r>
  <r>
    <x v="378"/>
    <x v="378"/>
    <n v="61"/>
    <x v="1"/>
    <d v="2025-05-07T00:00:00"/>
    <d v="2025-05-08T00:00:00"/>
    <x v="3"/>
    <x v="1"/>
    <n v="4499"/>
    <x v="1"/>
    <x v="3"/>
    <s v="Nurse Mia"/>
    <x v="0"/>
    <n v="1"/>
    <s v="Normal"/>
  </r>
  <r>
    <x v="379"/>
    <x v="379"/>
    <n v="66"/>
    <x v="0"/>
    <d v="2024-07-05T00:00:00"/>
    <d v="2024-07-06T00:00:00"/>
    <x v="4"/>
    <x v="2"/>
    <n v="6946"/>
    <x v="0"/>
    <x v="3"/>
    <s v="Nurse Rita"/>
    <x v="1"/>
    <n v="1"/>
    <s v="Normal"/>
  </r>
  <r>
    <x v="380"/>
    <x v="380"/>
    <n v="12"/>
    <x v="1"/>
    <d v="2024-10-03T00:00:00"/>
    <d v="2024-10-11T00:00:00"/>
    <x v="2"/>
    <x v="3"/>
    <n v="2557"/>
    <x v="1"/>
    <x v="1"/>
    <s v="Nurse John"/>
    <x v="0"/>
    <n v="8"/>
    <s v="Extended"/>
  </r>
  <r>
    <x v="381"/>
    <x v="381"/>
    <n v="38"/>
    <x v="1"/>
    <d v="2024-12-20T00:00:00"/>
    <d v="2025-01-02T00:00:00"/>
    <x v="2"/>
    <x v="6"/>
    <n v="2114"/>
    <x v="0"/>
    <x v="0"/>
    <s v="Nurse John"/>
    <x v="0"/>
    <n v="13"/>
    <s v="Extended"/>
  </r>
  <r>
    <x v="382"/>
    <x v="382"/>
    <n v="67"/>
    <x v="1"/>
    <d v="2025-01-02T00:00:00"/>
    <d v="2025-01-11T00:00:00"/>
    <x v="1"/>
    <x v="2"/>
    <n v="2448"/>
    <x v="1"/>
    <x v="2"/>
    <s v="Nurse Mia"/>
    <x v="0"/>
    <n v="9"/>
    <s v="Extended"/>
  </r>
  <r>
    <x v="383"/>
    <x v="383"/>
    <n v="32"/>
    <x v="1"/>
    <d v="2024-11-26T00:00:00"/>
    <d v="2024-11-29T00:00:00"/>
    <x v="6"/>
    <x v="1"/>
    <n v="7195"/>
    <x v="1"/>
    <x v="0"/>
    <s v="Nurse Allen"/>
    <x v="1"/>
    <n v="3"/>
    <s v="Normal"/>
  </r>
  <r>
    <x v="384"/>
    <x v="384"/>
    <n v="21"/>
    <x v="1"/>
    <d v="2024-08-31T00:00:00"/>
    <d v="2024-09-09T00:00:00"/>
    <x v="5"/>
    <x v="9"/>
    <n v="2139"/>
    <x v="0"/>
    <x v="4"/>
    <s v="Nurse Zoe"/>
    <x v="0"/>
    <n v="9"/>
    <s v="Extended"/>
  </r>
  <r>
    <x v="385"/>
    <x v="385"/>
    <n v="76"/>
    <x v="1"/>
    <d v="2024-09-20T00:00:00"/>
    <d v="2024-09-27T00:00:00"/>
    <x v="4"/>
    <x v="0"/>
    <n v="9908"/>
    <x v="0"/>
    <x v="4"/>
    <s v="Nurse Allen"/>
    <x v="1"/>
    <n v="7"/>
    <s v="Extended"/>
  </r>
  <r>
    <x v="386"/>
    <x v="386"/>
    <n v="44"/>
    <x v="0"/>
    <d v="2025-05-21T00:00:00"/>
    <d v="2025-05-30T00:00:00"/>
    <x v="1"/>
    <x v="4"/>
    <n v="8688"/>
    <x v="0"/>
    <x v="4"/>
    <s v="Nurse Zoe"/>
    <x v="2"/>
    <n v="9"/>
    <s v="Extended"/>
  </r>
  <r>
    <x v="387"/>
    <x v="387"/>
    <n v="44"/>
    <x v="1"/>
    <d v="2024-10-26T00:00:00"/>
    <d v="2024-11-09T00:00:00"/>
    <x v="0"/>
    <x v="9"/>
    <n v="3199"/>
    <x v="0"/>
    <x v="6"/>
    <s v="Nurse John"/>
    <x v="1"/>
    <n v="14"/>
    <s v="Extended"/>
  </r>
  <r>
    <x v="388"/>
    <x v="388"/>
    <n v="88"/>
    <x v="1"/>
    <d v="2025-04-15T00:00:00"/>
    <d v="2025-04-26T00:00:00"/>
    <x v="6"/>
    <x v="2"/>
    <n v="7878"/>
    <x v="0"/>
    <x v="2"/>
    <s v="Nurse Rita"/>
    <x v="1"/>
    <n v="11"/>
    <s v="Extended"/>
  </r>
  <r>
    <x v="389"/>
    <x v="389"/>
    <n v="18"/>
    <x v="0"/>
    <d v="2024-05-30T00:00:00"/>
    <d v="2024-06-06T00:00:00"/>
    <x v="2"/>
    <x v="7"/>
    <n v="4471"/>
    <x v="1"/>
    <x v="1"/>
    <s v="Nurse Allen"/>
    <x v="2"/>
    <n v="7"/>
    <s v="Extended"/>
  </r>
  <r>
    <x v="390"/>
    <x v="390"/>
    <n v="39"/>
    <x v="0"/>
    <d v="2024-12-04T00:00:00"/>
    <d v="2024-12-10T00:00:00"/>
    <x v="0"/>
    <x v="9"/>
    <n v="8872"/>
    <x v="0"/>
    <x v="3"/>
    <s v="Nurse Allen"/>
    <x v="1"/>
    <n v="6"/>
    <s v="Extended"/>
  </r>
  <r>
    <x v="391"/>
    <x v="391"/>
    <n v="60"/>
    <x v="1"/>
    <d v="2025-03-02T00:00:00"/>
    <d v="2025-03-10T00:00:00"/>
    <x v="6"/>
    <x v="7"/>
    <n v="3265"/>
    <x v="1"/>
    <x v="3"/>
    <s v="Nurse Mia"/>
    <x v="1"/>
    <n v="8"/>
    <s v="Extended"/>
  </r>
  <r>
    <x v="392"/>
    <x v="392"/>
    <n v="42"/>
    <x v="1"/>
    <d v="2024-12-13T00:00:00"/>
    <d v="2024-12-19T00:00:00"/>
    <x v="5"/>
    <x v="7"/>
    <n v="8594"/>
    <x v="0"/>
    <x v="0"/>
    <s v="Nurse Zoe"/>
    <x v="1"/>
    <n v="6"/>
    <s v="Extended"/>
  </r>
  <r>
    <x v="393"/>
    <x v="393"/>
    <n v="30"/>
    <x v="0"/>
    <d v="2025-03-20T00:00:00"/>
    <d v="2025-03-22T00:00:00"/>
    <x v="0"/>
    <x v="7"/>
    <n v="3912"/>
    <x v="0"/>
    <x v="4"/>
    <s v="Nurse Zoe"/>
    <x v="0"/>
    <n v="2"/>
    <s v="Normal"/>
  </r>
  <r>
    <x v="394"/>
    <x v="394"/>
    <n v="56"/>
    <x v="0"/>
    <d v="2024-08-07T00:00:00"/>
    <d v="2024-08-15T00:00:00"/>
    <x v="4"/>
    <x v="1"/>
    <n v="9021"/>
    <x v="0"/>
    <x v="0"/>
    <s v="Nurse Zoe"/>
    <x v="0"/>
    <n v="8"/>
    <s v="Extended"/>
  </r>
  <r>
    <x v="395"/>
    <x v="395"/>
    <n v="89"/>
    <x v="1"/>
    <d v="2024-12-02T00:00:00"/>
    <d v="2024-12-03T00:00:00"/>
    <x v="4"/>
    <x v="4"/>
    <n v="3004"/>
    <x v="0"/>
    <x v="1"/>
    <s v="Nurse Rita"/>
    <x v="0"/>
    <n v="1"/>
    <s v="Normal"/>
  </r>
  <r>
    <x v="396"/>
    <x v="396"/>
    <n v="76"/>
    <x v="1"/>
    <d v="2025-05-13T00:00:00"/>
    <d v="2025-05-15T00:00:00"/>
    <x v="1"/>
    <x v="5"/>
    <n v="7600"/>
    <x v="0"/>
    <x v="4"/>
    <s v="Nurse Lisa"/>
    <x v="2"/>
    <n v="2"/>
    <s v="Normal"/>
  </r>
  <r>
    <x v="397"/>
    <x v="397"/>
    <n v="19"/>
    <x v="1"/>
    <d v="2024-07-25T00:00:00"/>
    <d v="2024-07-29T00:00:00"/>
    <x v="6"/>
    <x v="2"/>
    <n v="5159"/>
    <x v="0"/>
    <x v="0"/>
    <s v="Nurse Kelly"/>
    <x v="2"/>
    <n v="4"/>
    <s v="Extended"/>
  </r>
  <r>
    <x v="398"/>
    <x v="398"/>
    <n v="28"/>
    <x v="0"/>
    <d v="2025-01-15T00:00:00"/>
    <d v="2025-01-16T00:00:00"/>
    <x v="5"/>
    <x v="5"/>
    <n v="1423"/>
    <x v="1"/>
    <x v="2"/>
    <s v="Nurse Lisa"/>
    <x v="2"/>
    <n v="1"/>
    <s v="Normal"/>
  </r>
  <r>
    <x v="399"/>
    <x v="399"/>
    <n v="45"/>
    <x v="1"/>
    <d v="2024-09-24T00:00:00"/>
    <d v="2024-10-03T00:00:00"/>
    <x v="4"/>
    <x v="1"/>
    <n v="4630"/>
    <x v="1"/>
    <x v="2"/>
    <s v="Nurse Mia"/>
    <x v="1"/>
    <n v="9"/>
    <s v="Extended"/>
  </r>
  <r>
    <x v="400"/>
    <x v="400"/>
    <n v="10"/>
    <x v="0"/>
    <d v="2024-11-29T00:00:00"/>
    <d v="2024-12-10T00:00:00"/>
    <x v="4"/>
    <x v="4"/>
    <n v="3587"/>
    <x v="1"/>
    <x v="6"/>
    <s v="Nurse Kelly"/>
    <x v="0"/>
    <n v="11"/>
    <s v="Extended"/>
  </r>
  <r>
    <x v="401"/>
    <x v="401"/>
    <n v="74"/>
    <x v="0"/>
    <d v="2025-01-14T00:00:00"/>
    <d v="2025-01-22T00:00:00"/>
    <x v="1"/>
    <x v="5"/>
    <n v="9287"/>
    <x v="0"/>
    <x v="4"/>
    <s v="Nurse Kelly"/>
    <x v="1"/>
    <n v="8"/>
    <s v="Extended"/>
  </r>
  <r>
    <x v="402"/>
    <x v="402"/>
    <n v="52"/>
    <x v="0"/>
    <d v="2024-06-04T00:00:00"/>
    <d v="2024-06-18T00:00:00"/>
    <x v="2"/>
    <x v="3"/>
    <n v="2083"/>
    <x v="1"/>
    <x v="1"/>
    <s v="Nurse Mia"/>
    <x v="1"/>
    <n v="14"/>
    <s v="Extended"/>
  </r>
  <r>
    <x v="403"/>
    <x v="403"/>
    <n v="17"/>
    <x v="1"/>
    <d v="2025-01-05T00:00:00"/>
    <d v="2025-01-07T00:00:00"/>
    <x v="0"/>
    <x v="8"/>
    <n v="7472"/>
    <x v="1"/>
    <x v="2"/>
    <s v="Nurse Rita"/>
    <x v="1"/>
    <n v="2"/>
    <s v="Normal"/>
  </r>
  <r>
    <x v="404"/>
    <x v="404"/>
    <n v="31"/>
    <x v="0"/>
    <d v="2024-06-22T00:00:00"/>
    <d v="2024-06-29T00:00:00"/>
    <x v="3"/>
    <x v="0"/>
    <n v="3797"/>
    <x v="0"/>
    <x v="4"/>
    <s v="Nurse Rita"/>
    <x v="2"/>
    <n v="7"/>
    <s v="Extended"/>
  </r>
  <r>
    <x v="405"/>
    <x v="405"/>
    <n v="58"/>
    <x v="0"/>
    <d v="2024-06-14T00:00:00"/>
    <d v="2024-06-19T00:00:00"/>
    <x v="3"/>
    <x v="1"/>
    <n v="3078"/>
    <x v="1"/>
    <x v="3"/>
    <s v="Nurse John"/>
    <x v="0"/>
    <n v="5"/>
    <s v="Extended"/>
  </r>
  <r>
    <x v="406"/>
    <x v="406"/>
    <n v="39"/>
    <x v="1"/>
    <d v="2025-05-02T00:00:00"/>
    <d v="2025-05-11T00:00:00"/>
    <x v="3"/>
    <x v="4"/>
    <n v="1621"/>
    <x v="0"/>
    <x v="3"/>
    <s v="Nurse Mia"/>
    <x v="1"/>
    <n v="9"/>
    <s v="Extended"/>
  </r>
  <r>
    <x v="407"/>
    <x v="407"/>
    <n v="30"/>
    <x v="1"/>
    <d v="2025-05-10T00:00:00"/>
    <d v="2025-05-23T00:00:00"/>
    <x v="1"/>
    <x v="7"/>
    <n v="9446"/>
    <x v="1"/>
    <x v="5"/>
    <s v="Nurse Allen"/>
    <x v="2"/>
    <n v="13"/>
    <s v="Extended"/>
  </r>
  <r>
    <x v="408"/>
    <x v="408"/>
    <n v="69"/>
    <x v="0"/>
    <d v="2024-08-04T00:00:00"/>
    <d v="2024-08-06T00:00:00"/>
    <x v="2"/>
    <x v="9"/>
    <n v="4890"/>
    <x v="0"/>
    <x v="2"/>
    <s v="Nurse Kelly"/>
    <x v="0"/>
    <n v="2"/>
    <s v="Normal"/>
  </r>
  <r>
    <x v="409"/>
    <x v="409"/>
    <n v="59"/>
    <x v="0"/>
    <d v="2025-02-08T00:00:00"/>
    <d v="2025-02-17T00:00:00"/>
    <x v="6"/>
    <x v="3"/>
    <n v="6963"/>
    <x v="1"/>
    <x v="3"/>
    <s v="Nurse Zoe"/>
    <x v="2"/>
    <n v="9"/>
    <s v="Extended"/>
  </r>
  <r>
    <x v="410"/>
    <x v="410"/>
    <n v="22"/>
    <x v="1"/>
    <d v="2024-09-11T00:00:00"/>
    <d v="2024-09-18T00:00:00"/>
    <x v="3"/>
    <x v="2"/>
    <n v="2805"/>
    <x v="0"/>
    <x v="3"/>
    <s v="Nurse Rita"/>
    <x v="0"/>
    <n v="7"/>
    <s v="Extended"/>
  </r>
  <r>
    <x v="411"/>
    <x v="411"/>
    <n v="27"/>
    <x v="1"/>
    <d v="2024-07-15T00:00:00"/>
    <d v="2024-07-21T00:00:00"/>
    <x v="6"/>
    <x v="9"/>
    <n v="2555"/>
    <x v="0"/>
    <x v="2"/>
    <s v="Nurse Kelly"/>
    <x v="1"/>
    <n v="6"/>
    <s v="Extended"/>
  </r>
  <r>
    <x v="412"/>
    <x v="412"/>
    <n v="61"/>
    <x v="0"/>
    <d v="2024-11-01T00:00:00"/>
    <d v="2024-11-05T00:00:00"/>
    <x v="2"/>
    <x v="9"/>
    <n v="5881"/>
    <x v="0"/>
    <x v="1"/>
    <s v="Nurse Lisa"/>
    <x v="1"/>
    <n v="4"/>
    <s v="Extended"/>
  </r>
  <r>
    <x v="413"/>
    <x v="413"/>
    <n v="71"/>
    <x v="0"/>
    <d v="2024-12-21T00:00:00"/>
    <d v="2024-12-24T00:00:00"/>
    <x v="4"/>
    <x v="7"/>
    <n v="4030"/>
    <x v="1"/>
    <x v="2"/>
    <s v="Nurse Lisa"/>
    <x v="2"/>
    <n v="3"/>
    <s v="Normal"/>
  </r>
  <r>
    <x v="414"/>
    <x v="414"/>
    <n v="81"/>
    <x v="1"/>
    <d v="2025-02-10T00:00:00"/>
    <d v="2025-02-12T00:00:00"/>
    <x v="3"/>
    <x v="1"/>
    <n v="9496"/>
    <x v="1"/>
    <x v="0"/>
    <s v="Nurse Rita"/>
    <x v="0"/>
    <n v="2"/>
    <s v="Normal"/>
  </r>
  <r>
    <x v="415"/>
    <x v="415"/>
    <n v="28"/>
    <x v="1"/>
    <d v="2025-03-27T00:00:00"/>
    <d v="2025-03-28T00:00:00"/>
    <x v="5"/>
    <x v="7"/>
    <n v="1943"/>
    <x v="1"/>
    <x v="1"/>
    <s v="Nurse Zoe"/>
    <x v="2"/>
    <n v="1"/>
    <s v="Normal"/>
  </r>
  <r>
    <x v="416"/>
    <x v="416"/>
    <n v="42"/>
    <x v="1"/>
    <d v="2024-11-25T00:00:00"/>
    <d v="2024-12-04T00:00:00"/>
    <x v="6"/>
    <x v="2"/>
    <n v="5857"/>
    <x v="1"/>
    <x v="4"/>
    <s v="Nurse Allen"/>
    <x v="0"/>
    <n v="9"/>
    <s v="Extended"/>
  </r>
  <r>
    <x v="417"/>
    <x v="417"/>
    <n v="36"/>
    <x v="0"/>
    <d v="2025-03-07T00:00:00"/>
    <d v="2025-03-15T00:00:00"/>
    <x v="4"/>
    <x v="9"/>
    <n v="4999"/>
    <x v="0"/>
    <x v="4"/>
    <s v="Nurse Zoe"/>
    <x v="2"/>
    <n v="8"/>
    <s v="Extended"/>
  </r>
  <r>
    <x v="418"/>
    <x v="418"/>
    <n v="33"/>
    <x v="0"/>
    <d v="2024-09-29T00:00:00"/>
    <d v="2024-10-04T00:00:00"/>
    <x v="3"/>
    <x v="9"/>
    <n v="2758"/>
    <x v="1"/>
    <x v="5"/>
    <s v="Nurse Kelly"/>
    <x v="1"/>
    <n v="5"/>
    <s v="Extended"/>
  </r>
  <r>
    <x v="419"/>
    <x v="419"/>
    <n v="17"/>
    <x v="0"/>
    <d v="2025-01-12T00:00:00"/>
    <d v="2025-01-19T00:00:00"/>
    <x v="2"/>
    <x v="2"/>
    <n v="1878"/>
    <x v="1"/>
    <x v="2"/>
    <s v="Nurse Mia"/>
    <x v="0"/>
    <n v="7"/>
    <s v="Extended"/>
  </r>
  <r>
    <x v="420"/>
    <x v="420"/>
    <n v="51"/>
    <x v="0"/>
    <d v="2024-11-26T00:00:00"/>
    <d v="2024-12-02T00:00:00"/>
    <x v="2"/>
    <x v="5"/>
    <n v="9383"/>
    <x v="0"/>
    <x v="5"/>
    <s v="Nurse Mia"/>
    <x v="1"/>
    <n v="6"/>
    <s v="Extended"/>
  </r>
  <r>
    <x v="421"/>
    <x v="421"/>
    <n v="33"/>
    <x v="1"/>
    <d v="2024-08-17T00:00:00"/>
    <d v="2024-08-22T00:00:00"/>
    <x v="6"/>
    <x v="7"/>
    <n v="2521"/>
    <x v="1"/>
    <x v="6"/>
    <s v="Nurse John"/>
    <x v="2"/>
    <n v="5"/>
    <s v="Extended"/>
  </r>
  <r>
    <x v="422"/>
    <x v="422"/>
    <n v="3"/>
    <x v="0"/>
    <d v="2025-05-14T00:00:00"/>
    <d v="2025-05-25T00:00:00"/>
    <x v="4"/>
    <x v="7"/>
    <n v="2688"/>
    <x v="0"/>
    <x v="6"/>
    <s v="Nurse Allen"/>
    <x v="1"/>
    <n v="11"/>
    <s v="Extended"/>
  </r>
  <r>
    <x v="423"/>
    <x v="423"/>
    <n v="73"/>
    <x v="0"/>
    <d v="2025-01-26T00:00:00"/>
    <d v="2025-02-02T00:00:00"/>
    <x v="6"/>
    <x v="1"/>
    <n v="5339"/>
    <x v="0"/>
    <x v="2"/>
    <s v="Nurse Kelly"/>
    <x v="2"/>
    <n v="7"/>
    <s v="Extended"/>
  </r>
  <r>
    <x v="424"/>
    <x v="424"/>
    <n v="53"/>
    <x v="1"/>
    <d v="2025-01-17T00:00:00"/>
    <d v="2025-01-18T00:00:00"/>
    <x v="3"/>
    <x v="1"/>
    <n v="5621"/>
    <x v="1"/>
    <x v="5"/>
    <s v="Nurse Mia"/>
    <x v="2"/>
    <n v="1"/>
    <s v="Normal"/>
  </r>
  <r>
    <x v="425"/>
    <x v="425"/>
    <n v="11"/>
    <x v="1"/>
    <d v="2025-02-19T00:00:00"/>
    <d v="2025-02-28T00:00:00"/>
    <x v="3"/>
    <x v="0"/>
    <n v="5727"/>
    <x v="0"/>
    <x v="5"/>
    <s v="Nurse Kelly"/>
    <x v="0"/>
    <n v="9"/>
    <s v="Extended"/>
  </r>
  <r>
    <x v="426"/>
    <x v="426"/>
    <n v="25"/>
    <x v="1"/>
    <d v="2025-03-10T00:00:00"/>
    <d v="2025-03-16T00:00:00"/>
    <x v="0"/>
    <x v="3"/>
    <n v="2915"/>
    <x v="1"/>
    <x v="5"/>
    <s v="Nurse Kelly"/>
    <x v="0"/>
    <n v="6"/>
    <s v="Extended"/>
  </r>
  <r>
    <x v="427"/>
    <x v="427"/>
    <n v="23"/>
    <x v="1"/>
    <d v="2024-10-10T00:00:00"/>
    <d v="2024-10-16T00:00:00"/>
    <x v="2"/>
    <x v="3"/>
    <n v="4555"/>
    <x v="1"/>
    <x v="5"/>
    <s v="Nurse Zoe"/>
    <x v="2"/>
    <n v="6"/>
    <s v="Extended"/>
  </r>
  <r>
    <x v="428"/>
    <x v="428"/>
    <n v="30"/>
    <x v="1"/>
    <d v="2025-03-20T00:00:00"/>
    <d v="2025-03-31T00:00:00"/>
    <x v="1"/>
    <x v="9"/>
    <n v="6478"/>
    <x v="0"/>
    <x v="2"/>
    <s v="Nurse Kelly"/>
    <x v="0"/>
    <n v="11"/>
    <s v="Extended"/>
  </r>
  <r>
    <x v="429"/>
    <x v="429"/>
    <n v="69"/>
    <x v="0"/>
    <d v="2025-01-03T00:00:00"/>
    <d v="2025-01-05T00:00:00"/>
    <x v="5"/>
    <x v="6"/>
    <n v="2464"/>
    <x v="0"/>
    <x v="5"/>
    <s v="Nurse Allen"/>
    <x v="2"/>
    <n v="2"/>
    <s v="Normal"/>
  </r>
  <r>
    <x v="430"/>
    <x v="430"/>
    <n v="64"/>
    <x v="0"/>
    <d v="2025-02-25T00:00:00"/>
    <d v="2025-03-08T00:00:00"/>
    <x v="3"/>
    <x v="0"/>
    <n v="5041"/>
    <x v="1"/>
    <x v="5"/>
    <s v="Nurse Mia"/>
    <x v="2"/>
    <n v="11"/>
    <s v="Extended"/>
  </r>
  <r>
    <x v="431"/>
    <x v="431"/>
    <n v="23"/>
    <x v="0"/>
    <d v="2024-11-28T00:00:00"/>
    <d v="2024-12-02T00:00:00"/>
    <x v="3"/>
    <x v="1"/>
    <n v="8218"/>
    <x v="1"/>
    <x v="2"/>
    <s v="Nurse Allen"/>
    <x v="0"/>
    <n v="4"/>
    <s v="Extended"/>
  </r>
  <r>
    <x v="432"/>
    <x v="432"/>
    <n v="26"/>
    <x v="0"/>
    <d v="2025-05-28T00:00:00"/>
    <d v="2025-06-04T00:00:00"/>
    <x v="6"/>
    <x v="5"/>
    <n v="4505"/>
    <x v="1"/>
    <x v="4"/>
    <s v="Nurse John"/>
    <x v="0"/>
    <n v="7"/>
    <s v="Extended"/>
  </r>
  <r>
    <x v="433"/>
    <x v="433"/>
    <n v="54"/>
    <x v="0"/>
    <d v="2024-09-25T00:00:00"/>
    <d v="2024-10-06T00:00:00"/>
    <x v="4"/>
    <x v="2"/>
    <n v="4950"/>
    <x v="0"/>
    <x v="3"/>
    <s v="Nurse Lisa"/>
    <x v="1"/>
    <n v="11"/>
    <s v="Extended"/>
  </r>
  <r>
    <x v="434"/>
    <x v="434"/>
    <n v="2"/>
    <x v="1"/>
    <d v="2025-02-01T00:00:00"/>
    <d v="2025-02-02T00:00:00"/>
    <x v="6"/>
    <x v="3"/>
    <n v="3873"/>
    <x v="0"/>
    <x v="6"/>
    <s v="Nurse Lisa"/>
    <x v="0"/>
    <n v="1"/>
    <s v="Normal"/>
  </r>
  <r>
    <x v="435"/>
    <x v="435"/>
    <n v="18"/>
    <x v="0"/>
    <d v="2025-01-06T00:00:00"/>
    <d v="2025-01-08T00:00:00"/>
    <x v="2"/>
    <x v="2"/>
    <n v="1904"/>
    <x v="0"/>
    <x v="5"/>
    <s v="Nurse Lisa"/>
    <x v="1"/>
    <n v="2"/>
    <s v="Normal"/>
  </r>
  <r>
    <x v="436"/>
    <x v="436"/>
    <n v="56"/>
    <x v="0"/>
    <d v="2024-12-08T00:00:00"/>
    <d v="2024-12-22T00:00:00"/>
    <x v="4"/>
    <x v="0"/>
    <n v="8327"/>
    <x v="0"/>
    <x v="1"/>
    <s v="Nurse Mia"/>
    <x v="1"/>
    <n v="14"/>
    <s v="Extended"/>
  </r>
  <r>
    <x v="437"/>
    <x v="437"/>
    <n v="15"/>
    <x v="1"/>
    <d v="2024-11-28T00:00:00"/>
    <d v="2024-12-08T00:00:00"/>
    <x v="1"/>
    <x v="0"/>
    <n v="1122"/>
    <x v="0"/>
    <x v="1"/>
    <s v="Nurse Kelly"/>
    <x v="2"/>
    <n v="10"/>
    <s v="Extended"/>
  </r>
  <r>
    <x v="438"/>
    <x v="438"/>
    <n v="4"/>
    <x v="1"/>
    <d v="2025-01-09T00:00:00"/>
    <d v="2025-01-11T00:00:00"/>
    <x v="6"/>
    <x v="6"/>
    <n v="5127"/>
    <x v="0"/>
    <x v="3"/>
    <s v="Nurse Mia"/>
    <x v="2"/>
    <n v="2"/>
    <s v="Normal"/>
  </r>
  <r>
    <x v="439"/>
    <x v="439"/>
    <n v="54"/>
    <x v="1"/>
    <d v="2024-11-14T00:00:00"/>
    <d v="2024-11-20T00:00:00"/>
    <x v="6"/>
    <x v="4"/>
    <n v="6969"/>
    <x v="0"/>
    <x v="0"/>
    <s v="Nurse John"/>
    <x v="1"/>
    <n v="6"/>
    <s v="Extended"/>
  </r>
  <r>
    <x v="440"/>
    <x v="440"/>
    <n v="7"/>
    <x v="1"/>
    <d v="2024-06-22T00:00:00"/>
    <d v="2024-07-02T00:00:00"/>
    <x v="6"/>
    <x v="0"/>
    <n v="5592"/>
    <x v="1"/>
    <x v="5"/>
    <s v="Nurse John"/>
    <x v="0"/>
    <n v="10"/>
    <s v="Extended"/>
  </r>
  <r>
    <x v="441"/>
    <x v="441"/>
    <n v="31"/>
    <x v="0"/>
    <d v="2024-05-30T00:00:00"/>
    <d v="2024-06-13T00:00:00"/>
    <x v="2"/>
    <x v="6"/>
    <n v="5943"/>
    <x v="1"/>
    <x v="0"/>
    <s v="Nurse Allen"/>
    <x v="1"/>
    <n v="14"/>
    <s v="Extended"/>
  </r>
  <r>
    <x v="442"/>
    <x v="442"/>
    <n v="70"/>
    <x v="0"/>
    <d v="2024-07-27T00:00:00"/>
    <d v="2024-08-08T00:00:00"/>
    <x v="2"/>
    <x v="0"/>
    <n v="4559"/>
    <x v="1"/>
    <x v="0"/>
    <s v="Nurse Zoe"/>
    <x v="2"/>
    <n v="12"/>
    <s v="Extended"/>
  </r>
  <r>
    <x v="443"/>
    <x v="443"/>
    <n v="44"/>
    <x v="0"/>
    <d v="2024-06-20T00:00:00"/>
    <d v="2024-06-29T00:00:00"/>
    <x v="0"/>
    <x v="9"/>
    <n v="1587"/>
    <x v="0"/>
    <x v="2"/>
    <s v="Nurse Mia"/>
    <x v="2"/>
    <n v="9"/>
    <s v="Extended"/>
  </r>
  <r>
    <x v="444"/>
    <x v="444"/>
    <n v="4"/>
    <x v="0"/>
    <d v="2025-01-18T00:00:00"/>
    <d v="2025-01-22T00:00:00"/>
    <x v="6"/>
    <x v="7"/>
    <n v="1368"/>
    <x v="0"/>
    <x v="5"/>
    <s v="Nurse Lisa"/>
    <x v="1"/>
    <n v="4"/>
    <s v="Extended"/>
  </r>
  <r>
    <x v="445"/>
    <x v="445"/>
    <n v="82"/>
    <x v="1"/>
    <d v="2024-07-30T00:00:00"/>
    <d v="2024-08-06T00:00:00"/>
    <x v="6"/>
    <x v="0"/>
    <n v="3709"/>
    <x v="0"/>
    <x v="1"/>
    <s v="Nurse John"/>
    <x v="2"/>
    <n v="7"/>
    <s v="Extended"/>
  </r>
  <r>
    <x v="446"/>
    <x v="446"/>
    <n v="48"/>
    <x v="0"/>
    <d v="2024-12-14T00:00:00"/>
    <d v="2024-12-16T00:00:00"/>
    <x v="6"/>
    <x v="5"/>
    <n v="7322"/>
    <x v="0"/>
    <x v="2"/>
    <s v="Nurse Allen"/>
    <x v="0"/>
    <n v="2"/>
    <s v="Normal"/>
  </r>
  <r>
    <x v="447"/>
    <x v="447"/>
    <n v="30"/>
    <x v="0"/>
    <d v="2024-12-26T00:00:00"/>
    <d v="2025-01-01T00:00:00"/>
    <x v="2"/>
    <x v="5"/>
    <n v="4866"/>
    <x v="1"/>
    <x v="1"/>
    <s v="Nurse Lisa"/>
    <x v="0"/>
    <n v="6"/>
    <s v="Extended"/>
  </r>
  <r>
    <x v="448"/>
    <x v="448"/>
    <n v="33"/>
    <x v="1"/>
    <d v="2024-08-03T00:00:00"/>
    <d v="2024-08-09T00:00:00"/>
    <x v="2"/>
    <x v="9"/>
    <n v="5326"/>
    <x v="1"/>
    <x v="2"/>
    <s v="Nurse Kelly"/>
    <x v="1"/>
    <n v="6"/>
    <s v="Extended"/>
  </r>
  <r>
    <x v="449"/>
    <x v="449"/>
    <n v="25"/>
    <x v="0"/>
    <d v="2025-01-21T00:00:00"/>
    <d v="2025-01-24T00:00:00"/>
    <x v="3"/>
    <x v="7"/>
    <n v="3632"/>
    <x v="1"/>
    <x v="0"/>
    <s v="Nurse Kelly"/>
    <x v="1"/>
    <n v="3"/>
    <s v="Normal"/>
  </r>
  <r>
    <x v="450"/>
    <x v="450"/>
    <n v="73"/>
    <x v="0"/>
    <d v="2025-05-17T00:00:00"/>
    <d v="2025-05-22T00:00:00"/>
    <x v="4"/>
    <x v="0"/>
    <n v="4084"/>
    <x v="1"/>
    <x v="2"/>
    <s v="Nurse Kelly"/>
    <x v="1"/>
    <n v="5"/>
    <s v="Extended"/>
  </r>
  <r>
    <x v="451"/>
    <x v="451"/>
    <n v="62"/>
    <x v="0"/>
    <d v="2024-08-13T00:00:00"/>
    <d v="2024-08-15T00:00:00"/>
    <x v="4"/>
    <x v="6"/>
    <n v="2465"/>
    <x v="0"/>
    <x v="3"/>
    <s v="Nurse Kelly"/>
    <x v="1"/>
    <n v="2"/>
    <s v="Normal"/>
  </r>
  <r>
    <x v="452"/>
    <x v="452"/>
    <n v="43"/>
    <x v="0"/>
    <d v="2024-10-18T00:00:00"/>
    <d v="2024-10-21T00:00:00"/>
    <x v="1"/>
    <x v="9"/>
    <n v="5498"/>
    <x v="1"/>
    <x v="2"/>
    <s v="Nurse Zoe"/>
    <x v="0"/>
    <n v="3"/>
    <s v="Normal"/>
  </r>
  <r>
    <x v="453"/>
    <x v="453"/>
    <n v="82"/>
    <x v="1"/>
    <d v="2025-04-13T00:00:00"/>
    <d v="2025-04-26T00:00:00"/>
    <x v="0"/>
    <x v="8"/>
    <n v="4761"/>
    <x v="1"/>
    <x v="4"/>
    <s v="Nurse Mia"/>
    <x v="2"/>
    <n v="13"/>
    <s v="Extended"/>
  </r>
  <r>
    <x v="454"/>
    <x v="454"/>
    <n v="59"/>
    <x v="1"/>
    <d v="2025-05-18T00:00:00"/>
    <d v="2025-05-31T00:00:00"/>
    <x v="0"/>
    <x v="8"/>
    <n v="5245"/>
    <x v="0"/>
    <x v="2"/>
    <s v="Nurse Mia"/>
    <x v="1"/>
    <n v="13"/>
    <s v="Extended"/>
  </r>
  <r>
    <x v="455"/>
    <x v="455"/>
    <n v="46"/>
    <x v="1"/>
    <d v="2025-02-11T00:00:00"/>
    <d v="2025-02-14T00:00:00"/>
    <x v="3"/>
    <x v="5"/>
    <n v="2860"/>
    <x v="1"/>
    <x v="3"/>
    <s v="Nurse Zoe"/>
    <x v="0"/>
    <n v="3"/>
    <s v="Normal"/>
  </r>
  <r>
    <x v="456"/>
    <x v="456"/>
    <n v="24"/>
    <x v="0"/>
    <d v="2024-09-08T00:00:00"/>
    <d v="2024-09-12T00:00:00"/>
    <x v="5"/>
    <x v="5"/>
    <n v="1865"/>
    <x v="0"/>
    <x v="1"/>
    <s v="Nurse Allen"/>
    <x v="0"/>
    <n v="4"/>
    <s v="Extended"/>
  </r>
  <r>
    <x v="457"/>
    <x v="457"/>
    <n v="29"/>
    <x v="1"/>
    <d v="2024-12-13T00:00:00"/>
    <d v="2024-12-20T00:00:00"/>
    <x v="5"/>
    <x v="7"/>
    <n v="9038"/>
    <x v="0"/>
    <x v="0"/>
    <s v="Nurse John"/>
    <x v="0"/>
    <n v="7"/>
    <s v="Extended"/>
  </r>
  <r>
    <x v="458"/>
    <x v="458"/>
    <n v="3"/>
    <x v="1"/>
    <d v="2024-12-01T00:00:00"/>
    <d v="2024-12-10T00:00:00"/>
    <x v="6"/>
    <x v="0"/>
    <n v="7328"/>
    <x v="1"/>
    <x v="4"/>
    <s v="Nurse Rita"/>
    <x v="2"/>
    <n v="9"/>
    <s v="Extended"/>
  </r>
  <r>
    <x v="459"/>
    <x v="459"/>
    <n v="40"/>
    <x v="0"/>
    <d v="2025-03-06T00:00:00"/>
    <d v="2025-03-18T00:00:00"/>
    <x v="5"/>
    <x v="1"/>
    <n v="6698"/>
    <x v="0"/>
    <x v="3"/>
    <s v="Nurse Mia"/>
    <x v="0"/>
    <n v="12"/>
    <s v="Extended"/>
  </r>
  <r>
    <x v="460"/>
    <x v="460"/>
    <n v="87"/>
    <x v="0"/>
    <d v="2024-06-18T00:00:00"/>
    <d v="2024-06-23T00:00:00"/>
    <x v="5"/>
    <x v="5"/>
    <n v="8645"/>
    <x v="1"/>
    <x v="0"/>
    <s v="Nurse John"/>
    <x v="1"/>
    <n v="5"/>
    <s v="Extended"/>
  </r>
  <r>
    <x v="461"/>
    <x v="461"/>
    <n v="10"/>
    <x v="0"/>
    <d v="2025-02-10T00:00:00"/>
    <d v="2025-02-13T00:00:00"/>
    <x v="1"/>
    <x v="1"/>
    <n v="6287"/>
    <x v="1"/>
    <x v="3"/>
    <s v="Nurse John"/>
    <x v="0"/>
    <n v="3"/>
    <s v="Normal"/>
  </r>
  <r>
    <x v="462"/>
    <x v="462"/>
    <n v="77"/>
    <x v="0"/>
    <d v="2025-04-08T00:00:00"/>
    <d v="2025-04-14T00:00:00"/>
    <x v="5"/>
    <x v="9"/>
    <n v="9088"/>
    <x v="0"/>
    <x v="1"/>
    <s v="Nurse Mia"/>
    <x v="2"/>
    <n v="6"/>
    <s v="Extended"/>
  </r>
  <r>
    <x v="463"/>
    <x v="463"/>
    <n v="43"/>
    <x v="0"/>
    <d v="2025-01-24T00:00:00"/>
    <d v="2025-01-31T00:00:00"/>
    <x v="0"/>
    <x v="5"/>
    <n v="8981"/>
    <x v="0"/>
    <x v="4"/>
    <s v="Nurse Mia"/>
    <x v="0"/>
    <n v="7"/>
    <s v="Extended"/>
  </r>
  <r>
    <x v="464"/>
    <x v="464"/>
    <n v="68"/>
    <x v="0"/>
    <d v="2025-01-14T00:00:00"/>
    <d v="2025-01-22T00:00:00"/>
    <x v="6"/>
    <x v="8"/>
    <n v="4520"/>
    <x v="1"/>
    <x v="1"/>
    <s v="Nurse John"/>
    <x v="2"/>
    <n v="8"/>
    <s v="Extended"/>
  </r>
  <r>
    <x v="465"/>
    <x v="465"/>
    <n v="9"/>
    <x v="1"/>
    <d v="2024-08-02T00:00:00"/>
    <d v="2024-08-12T00:00:00"/>
    <x v="1"/>
    <x v="3"/>
    <n v="6120"/>
    <x v="0"/>
    <x v="0"/>
    <s v="Nurse Kelly"/>
    <x v="0"/>
    <n v="10"/>
    <s v="Extended"/>
  </r>
  <r>
    <x v="466"/>
    <x v="466"/>
    <n v="11"/>
    <x v="1"/>
    <d v="2024-10-27T00:00:00"/>
    <d v="2024-10-30T00:00:00"/>
    <x v="2"/>
    <x v="8"/>
    <n v="4558"/>
    <x v="1"/>
    <x v="2"/>
    <s v="Nurse Rita"/>
    <x v="1"/>
    <n v="3"/>
    <s v="Normal"/>
  </r>
  <r>
    <x v="467"/>
    <x v="467"/>
    <n v="22"/>
    <x v="0"/>
    <d v="2025-04-13T00:00:00"/>
    <d v="2025-04-24T00:00:00"/>
    <x v="3"/>
    <x v="5"/>
    <n v="4084"/>
    <x v="1"/>
    <x v="6"/>
    <s v="Nurse Kelly"/>
    <x v="0"/>
    <n v="11"/>
    <s v="Extended"/>
  </r>
  <r>
    <x v="468"/>
    <x v="468"/>
    <n v="56"/>
    <x v="0"/>
    <d v="2025-01-08T00:00:00"/>
    <d v="2025-01-12T00:00:00"/>
    <x v="4"/>
    <x v="9"/>
    <n v="6104"/>
    <x v="0"/>
    <x v="2"/>
    <s v="Nurse Allen"/>
    <x v="0"/>
    <n v="4"/>
    <s v="Extended"/>
  </r>
  <r>
    <x v="469"/>
    <x v="469"/>
    <n v="75"/>
    <x v="0"/>
    <d v="2024-10-21T00:00:00"/>
    <d v="2024-10-30T00:00:00"/>
    <x v="2"/>
    <x v="7"/>
    <n v="9731"/>
    <x v="0"/>
    <x v="4"/>
    <s v="Nurse Mia"/>
    <x v="1"/>
    <n v="9"/>
    <s v="Extended"/>
  </r>
  <r>
    <x v="470"/>
    <x v="470"/>
    <n v="68"/>
    <x v="1"/>
    <d v="2024-06-21T00:00:00"/>
    <d v="2024-06-24T00:00:00"/>
    <x v="2"/>
    <x v="3"/>
    <n v="3162"/>
    <x v="1"/>
    <x v="3"/>
    <s v="Nurse Lisa"/>
    <x v="0"/>
    <n v="3"/>
    <s v="Normal"/>
  </r>
  <r>
    <x v="471"/>
    <x v="471"/>
    <n v="5"/>
    <x v="0"/>
    <d v="2024-09-08T00:00:00"/>
    <d v="2024-09-17T00:00:00"/>
    <x v="1"/>
    <x v="4"/>
    <n v="9302"/>
    <x v="0"/>
    <x v="3"/>
    <s v="Nurse Kelly"/>
    <x v="2"/>
    <n v="9"/>
    <s v="Extended"/>
  </r>
  <r>
    <x v="472"/>
    <x v="472"/>
    <n v="78"/>
    <x v="0"/>
    <d v="2025-02-19T00:00:00"/>
    <d v="2025-03-03T00:00:00"/>
    <x v="6"/>
    <x v="3"/>
    <n v="6059"/>
    <x v="1"/>
    <x v="6"/>
    <s v="Nurse Zoe"/>
    <x v="1"/>
    <n v="12"/>
    <s v="Extended"/>
  </r>
  <r>
    <x v="473"/>
    <x v="473"/>
    <n v="17"/>
    <x v="1"/>
    <d v="2025-03-08T00:00:00"/>
    <d v="2025-03-14T00:00:00"/>
    <x v="2"/>
    <x v="8"/>
    <n v="9454"/>
    <x v="0"/>
    <x v="1"/>
    <s v="Nurse Rita"/>
    <x v="2"/>
    <n v="6"/>
    <s v="Extended"/>
  </r>
  <r>
    <x v="474"/>
    <x v="474"/>
    <n v="72"/>
    <x v="0"/>
    <d v="2024-06-05T00:00:00"/>
    <d v="2024-06-18T00:00:00"/>
    <x v="4"/>
    <x v="1"/>
    <n v="2046"/>
    <x v="0"/>
    <x v="5"/>
    <s v="Nurse John"/>
    <x v="0"/>
    <n v="13"/>
    <s v="Extended"/>
  </r>
  <r>
    <x v="475"/>
    <x v="475"/>
    <n v="34"/>
    <x v="1"/>
    <d v="2024-11-07T00:00:00"/>
    <d v="2024-11-17T00:00:00"/>
    <x v="6"/>
    <x v="8"/>
    <n v="1843"/>
    <x v="1"/>
    <x v="2"/>
    <s v="Nurse Rita"/>
    <x v="2"/>
    <n v="10"/>
    <s v="Extended"/>
  </r>
  <r>
    <x v="476"/>
    <x v="476"/>
    <n v="22"/>
    <x v="1"/>
    <d v="2024-12-26T00:00:00"/>
    <d v="2024-12-30T00:00:00"/>
    <x v="1"/>
    <x v="2"/>
    <n v="2596"/>
    <x v="0"/>
    <x v="4"/>
    <s v="Nurse Zoe"/>
    <x v="1"/>
    <n v="4"/>
    <s v="Extended"/>
  </r>
  <r>
    <x v="477"/>
    <x v="477"/>
    <n v="13"/>
    <x v="0"/>
    <d v="2025-05-20T00:00:00"/>
    <d v="2025-05-24T00:00:00"/>
    <x v="1"/>
    <x v="6"/>
    <n v="1374"/>
    <x v="0"/>
    <x v="5"/>
    <s v="Nurse John"/>
    <x v="0"/>
    <n v="4"/>
    <s v="Extended"/>
  </r>
  <r>
    <x v="478"/>
    <x v="478"/>
    <n v="84"/>
    <x v="0"/>
    <d v="2024-05-31T00:00:00"/>
    <d v="2024-06-08T00:00:00"/>
    <x v="2"/>
    <x v="7"/>
    <n v="8677"/>
    <x v="0"/>
    <x v="0"/>
    <s v="Nurse Mia"/>
    <x v="0"/>
    <n v="8"/>
    <s v="Extended"/>
  </r>
  <r>
    <x v="479"/>
    <x v="479"/>
    <n v="87"/>
    <x v="1"/>
    <d v="2024-10-03T00:00:00"/>
    <d v="2024-10-04T00:00:00"/>
    <x v="3"/>
    <x v="1"/>
    <n v="4465"/>
    <x v="1"/>
    <x v="0"/>
    <s v="Nurse Mia"/>
    <x v="1"/>
    <n v="1"/>
    <s v="Normal"/>
  </r>
  <r>
    <x v="480"/>
    <x v="480"/>
    <n v="14"/>
    <x v="1"/>
    <d v="2024-10-30T00:00:00"/>
    <d v="2024-11-08T00:00:00"/>
    <x v="6"/>
    <x v="2"/>
    <n v="6218"/>
    <x v="0"/>
    <x v="3"/>
    <s v="Nurse Mia"/>
    <x v="1"/>
    <n v="9"/>
    <s v="Extended"/>
  </r>
  <r>
    <x v="481"/>
    <x v="481"/>
    <n v="80"/>
    <x v="1"/>
    <d v="2024-07-13T00:00:00"/>
    <d v="2024-07-21T00:00:00"/>
    <x v="4"/>
    <x v="3"/>
    <n v="7913"/>
    <x v="0"/>
    <x v="1"/>
    <s v="Nurse Rita"/>
    <x v="2"/>
    <n v="8"/>
    <s v="Extended"/>
  </r>
  <r>
    <x v="482"/>
    <x v="482"/>
    <n v="71"/>
    <x v="0"/>
    <d v="2025-03-09T00:00:00"/>
    <d v="2025-03-11T00:00:00"/>
    <x v="3"/>
    <x v="5"/>
    <n v="2962"/>
    <x v="0"/>
    <x v="1"/>
    <s v="Nurse Zoe"/>
    <x v="2"/>
    <n v="2"/>
    <s v="Normal"/>
  </r>
  <r>
    <x v="483"/>
    <x v="483"/>
    <n v="67"/>
    <x v="0"/>
    <d v="2025-02-08T00:00:00"/>
    <d v="2025-02-12T00:00:00"/>
    <x v="0"/>
    <x v="3"/>
    <n v="9438"/>
    <x v="0"/>
    <x v="2"/>
    <s v="Nurse Zoe"/>
    <x v="0"/>
    <n v="4"/>
    <s v="Extended"/>
  </r>
  <r>
    <x v="484"/>
    <x v="484"/>
    <n v="56"/>
    <x v="1"/>
    <d v="2024-08-24T00:00:00"/>
    <d v="2024-09-01T00:00:00"/>
    <x v="0"/>
    <x v="3"/>
    <n v="8451"/>
    <x v="0"/>
    <x v="2"/>
    <s v="Nurse Mia"/>
    <x v="2"/>
    <n v="8"/>
    <s v="Extended"/>
  </r>
  <r>
    <x v="485"/>
    <x v="485"/>
    <n v="75"/>
    <x v="1"/>
    <d v="2024-10-30T00:00:00"/>
    <d v="2024-11-08T00:00:00"/>
    <x v="2"/>
    <x v="3"/>
    <n v="4230"/>
    <x v="1"/>
    <x v="6"/>
    <s v="Nurse Rita"/>
    <x v="1"/>
    <n v="9"/>
    <s v="Extended"/>
  </r>
  <r>
    <x v="486"/>
    <x v="486"/>
    <n v="72"/>
    <x v="1"/>
    <d v="2024-09-25T00:00:00"/>
    <d v="2024-10-05T00:00:00"/>
    <x v="0"/>
    <x v="6"/>
    <n v="9774"/>
    <x v="0"/>
    <x v="3"/>
    <s v="Nurse Allen"/>
    <x v="1"/>
    <n v="10"/>
    <s v="Extended"/>
  </r>
  <r>
    <x v="487"/>
    <x v="487"/>
    <n v="69"/>
    <x v="1"/>
    <d v="2025-05-20T00:00:00"/>
    <d v="2025-06-02T00:00:00"/>
    <x v="5"/>
    <x v="8"/>
    <n v="4718"/>
    <x v="0"/>
    <x v="1"/>
    <s v="Nurse Allen"/>
    <x v="0"/>
    <n v="13"/>
    <s v="Extended"/>
  </r>
  <r>
    <x v="488"/>
    <x v="488"/>
    <n v="27"/>
    <x v="0"/>
    <d v="2025-05-09T00:00:00"/>
    <d v="2025-05-20T00:00:00"/>
    <x v="4"/>
    <x v="6"/>
    <n v="9543"/>
    <x v="1"/>
    <x v="3"/>
    <s v="Nurse John"/>
    <x v="1"/>
    <n v="11"/>
    <s v="Extended"/>
  </r>
  <r>
    <x v="489"/>
    <x v="489"/>
    <n v="8"/>
    <x v="0"/>
    <d v="2025-01-25T00:00:00"/>
    <d v="2025-01-31T00:00:00"/>
    <x v="3"/>
    <x v="7"/>
    <n v="8908"/>
    <x v="1"/>
    <x v="4"/>
    <s v="Nurse Kelly"/>
    <x v="2"/>
    <n v="6"/>
    <s v="Extended"/>
  </r>
  <r>
    <x v="490"/>
    <x v="490"/>
    <n v="72"/>
    <x v="1"/>
    <d v="2025-01-07T00:00:00"/>
    <d v="2025-01-09T00:00:00"/>
    <x v="5"/>
    <x v="8"/>
    <n v="7092"/>
    <x v="0"/>
    <x v="1"/>
    <s v="Nurse Mia"/>
    <x v="1"/>
    <n v="2"/>
    <s v="Normal"/>
  </r>
  <r>
    <x v="491"/>
    <x v="491"/>
    <n v="15"/>
    <x v="1"/>
    <d v="2024-06-02T00:00:00"/>
    <d v="2024-06-14T00:00:00"/>
    <x v="4"/>
    <x v="8"/>
    <n v="1035"/>
    <x v="0"/>
    <x v="5"/>
    <s v="Nurse Mia"/>
    <x v="0"/>
    <n v="12"/>
    <s v="Extended"/>
  </r>
  <r>
    <x v="492"/>
    <x v="492"/>
    <n v="86"/>
    <x v="0"/>
    <d v="2024-07-22T00:00:00"/>
    <d v="2024-07-29T00:00:00"/>
    <x v="2"/>
    <x v="0"/>
    <n v="6492"/>
    <x v="1"/>
    <x v="0"/>
    <s v="Nurse Mia"/>
    <x v="0"/>
    <n v="7"/>
    <s v="Extended"/>
  </r>
  <r>
    <x v="493"/>
    <x v="493"/>
    <n v="81"/>
    <x v="1"/>
    <d v="2025-01-31T00:00:00"/>
    <d v="2025-02-11T00:00:00"/>
    <x v="2"/>
    <x v="1"/>
    <n v="4269"/>
    <x v="0"/>
    <x v="2"/>
    <s v="Nurse Allen"/>
    <x v="0"/>
    <n v="11"/>
    <s v="Extended"/>
  </r>
  <r>
    <x v="494"/>
    <x v="494"/>
    <n v="46"/>
    <x v="1"/>
    <d v="2025-05-05T00:00:00"/>
    <d v="2025-05-16T00:00:00"/>
    <x v="3"/>
    <x v="2"/>
    <n v="9589"/>
    <x v="1"/>
    <x v="6"/>
    <s v="Nurse Zoe"/>
    <x v="0"/>
    <n v="11"/>
    <s v="Extended"/>
  </r>
  <r>
    <x v="495"/>
    <x v="495"/>
    <n v="89"/>
    <x v="0"/>
    <d v="2024-08-15T00:00:00"/>
    <d v="2024-08-26T00:00:00"/>
    <x v="0"/>
    <x v="5"/>
    <n v="3367"/>
    <x v="1"/>
    <x v="2"/>
    <s v="Nurse Kelly"/>
    <x v="2"/>
    <n v="11"/>
    <s v="Extended"/>
  </r>
  <r>
    <x v="496"/>
    <x v="496"/>
    <n v="8"/>
    <x v="1"/>
    <d v="2025-03-28T00:00:00"/>
    <d v="2025-04-09T00:00:00"/>
    <x v="6"/>
    <x v="1"/>
    <n v="9717"/>
    <x v="1"/>
    <x v="2"/>
    <s v="Nurse John"/>
    <x v="2"/>
    <n v="12"/>
    <s v="Extended"/>
  </r>
  <r>
    <x v="497"/>
    <x v="47"/>
    <n v="49"/>
    <x v="0"/>
    <d v="2025-01-12T00:00:00"/>
    <d v="2025-01-13T00:00:00"/>
    <x v="2"/>
    <x v="5"/>
    <n v="3436"/>
    <x v="1"/>
    <x v="0"/>
    <s v="Nurse Lisa"/>
    <x v="0"/>
    <n v="1"/>
    <s v="Normal"/>
  </r>
  <r>
    <x v="498"/>
    <x v="497"/>
    <n v="63"/>
    <x v="0"/>
    <d v="2025-05-04T00:00:00"/>
    <d v="2025-05-13T00:00:00"/>
    <x v="0"/>
    <x v="7"/>
    <n v="9829"/>
    <x v="0"/>
    <x v="2"/>
    <s v="Nurse Allen"/>
    <x v="2"/>
    <n v="9"/>
    <s v="Extended"/>
  </r>
  <r>
    <x v="499"/>
    <x v="498"/>
    <n v="58"/>
    <x v="0"/>
    <d v="2024-09-07T00:00:00"/>
    <d v="2024-09-16T00:00:00"/>
    <x v="4"/>
    <x v="4"/>
    <n v="9893"/>
    <x v="0"/>
    <x v="3"/>
    <s v="Nurse Mia"/>
    <x v="0"/>
    <n v="9"/>
    <s v="Extended"/>
  </r>
  <r>
    <x v="500"/>
    <x v="499"/>
    <n v="38"/>
    <x v="1"/>
    <d v="2025-01-28T00:00:00"/>
    <d v="2025-02-04T00:00:00"/>
    <x v="4"/>
    <x v="1"/>
    <n v="2245"/>
    <x v="1"/>
    <x v="0"/>
    <s v="Nurse Kelly"/>
    <x v="0"/>
    <n v="7"/>
    <s v="Extended"/>
  </r>
  <r>
    <x v="501"/>
    <x v="500"/>
    <n v="74"/>
    <x v="0"/>
    <d v="2024-10-18T00:00:00"/>
    <d v="2024-10-25T00:00:00"/>
    <x v="2"/>
    <x v="2"/>
    <n v="1483"/>
    <x v="0"/>
    <x v="4"/>
    <s v="Nurse John"/>
    <x v="2"/>
    <n v="7"/>
    <s v="Extended"/>
  </r>
  <r>
    <x v="502"/>
    <x v="501"/>
    <n v="69"/>
    <x v="1"/>
    <d v="2024-11-10T00:00:00"/>
    <d v="2024-11-20T00:00:00"/>
    <x v="5"/>
    <x v="4"/>
    <n v="4099"/>
    <x v="0"/>
    <x v="3"/>
    <s v="Nurse Allen"/>
    <x v="1"/>
    <n v="10"/>
    <s v="Extended"/>
  </r>
  <r>
    <x v="503"/>
    <x v="502"/>
    <n v="38"/>
    <x v="0"/>
    <d v="2025-03-05T00:00:00"/>
    <d v="2025-03-08T00:00:00"/>
    <x v="2"/>
    <x v="7"/>
    <n v="7711"/>
    <x v="0"/>
    <x v="3"/>
    <s v="Nurse Zoe"/>
    <x v="1"/>
    <n v="3"/>
    <s v="Normal"/>
  </r>
  <r>
    <x v="504"/>
    <x v="503"/>
    <n v="13"/>
    <x v="1"/>
    <d v="2025-03-03T00:00:00"/>
    <d v="2025-03-05T00:00:00"/>
    <x v="3"/>
    <x v="7"/>
    <n v="5999"/>
    <x v="0"/>
    <x v="2"/>
    <s v="Nurse Mia"/>
    <x v="0"/>
    <n v="2"/>
    <s v="Normal"/>
  </r>
  <r>
    <x v="505"/>
    <x v="504"/>
    <n v="53"/>
    <x v="1"/>
    <d v="2024-10-15T00:00:00"/>
    <d v="2024-10-19T00:00:00"/>
    <x v="5"/>
    <x v="8"/>
    <n v="8199"/>
    <x v="1"/>
    <x v="6"/>
    <s v="Nurse Lisa"/>
    <x v="0"/>
    <n v="4"/>
    <s v="Extended"/>
  </r>
  <r>
    <x v="506"/>
    <x v="505"/>
    <n v="60"/>
    <x v="0"/>
    <d v="2025-05-10T00:00:00"/>
    <d v="2025-05-24T00:00:00"/>
    <x v="3"/>
    <x v="9"/>
    <n v="6420"/>
    <x v="1"/>
    <x v="4"/>
    <s v="Nurse John"/>
    <x v="0"/>
    <n v="14"/>
    <s v="Extended"/>
  </r>
  <r>
    <x v="507"/>
    <x v="506"/>
    <n v="2"/>
    <x v="1"/>
    <d v="2024-10-15T00:00:00"/>
    <d v="2024-10-24T00:00:00"/>
    <x v="2"/>
    <x v="5"/>
    <n v="3703"/>
    <x v="1"/>
    <x v="5"/>
    <s v="Nurse Mia"/>
    <x v="2"/>
    <n v="9"/>
    <s v="Extended"/>
  </r>
  <r>
    <x v="508"/>
    <x v="507"/>
    <n v="23"/>
    <x v="0"/>
    <d v="2025-05-08T00:00:00"/>
    <d v="2025-05-15T00:00:00"/>
    <x v="6"/>
    <x v="3"/>
    <n v="8819"/>
    <x v="0"/>
    <x v="3"/>
    <s v="Nurse John"/>
    <x v="0"/>
    <n v="7"/>
    <s v="Extended"/>
  </r>
  <r>
    <x v="509"/>
    <x v="508"/>
    <n v="73"/>
    <x v="1"/>
    <d v="2024-08-29T00:00:00"/>
    <d v="2024-09-10T00:00:00"/>
    <x v="5"/>
    <x v="0"/>
    <n v="4435"/>
    <x v="1"/>
    <x v="5"/>
    <s v="Nurse Lisa"/>
    <x v="2"/>
    <n v="12"/>
    <s v="Extended"/>
  </r>
  <r>
    <x v="510"/>
    <x v="509"/>
    <n v="7"/>
    <x v="1"/>
    <d v="2025-04-24T00:00:00"/>
    <d v="2025-04-25T00:00:00"/>
    <x v="3"/>
    <x v="9"/>
    <n v="6651"/>
    <x v="0"/>
    <x v="1"/>
    <s v="Nurse Lisa"/>
    <x v="1"/>
    <n v="1"/>
    <s v="Normal"/>
  </r>
  <r>
    <x v="511"/>
    <x v="510"/>
    <n v="73"/>
    <x v="1"/>
    <d v="2025-02-15T00:00:00"/>
    <d v="2025-02-23T00:00:00"/>
    <x v="0"/>
    <x v="3"/>
    <n v="6536"/>
    <x v="1"/>
    <x v="5"/>
    <s v="Nurse Rita"/>
    <x v="2"/>
    <n v="8"/>
    <s v="Extended"/>
  </r>
  <r>
    <x v="512"/>
    <x v="511"/>
    <n v="28"/>
    <x v="0"/>
    <d v="2025-02-20T00:00:00"/>
    <d v="2025-02-21T00:00:00"/>
    <x v="2"/>
    <x v="7"/>
    <n v="4153"/>
    <x v="0"/>
    <x v="0"/>
    <s v="Nurse Allen"/>
    <x v="0"/>
    <n v="1"/>
    <s v="Normal"/>
  </r>
  <r>
    <x v="513"/>
    <x v="512"/>
    <n v="74"/>
    <x v="1"/>
    <d v="2024-09-14T00:00:00"/>
    <d v="2024-09-27T00:00:00"/>
    <x v="0"/>
    <x v="9"/>
    <n v="4426"/>
    <x v="0"/>
    <x v="0"/>
    <s v="Nurse Allen"/>
    <x v="2"/>
    <n v="13"/>
    <s v="Extended"/>
  </r>
  <r>
    <x v="514"/>
    <x v="513"/>
    <n v="72"/>
    <x v="0"/>
    <d v="2024-08-17T00:00:00"/>
    <d v="2024-08-21T00:00:00"/>
    <x v="2"/>
    <x v="3"/>
    <n v="2669"/>
    <x v="1"/>
    <x v="4"/>
    <s v="Nurse Kelly"/>
    <x v="0"/>
    <n v="4"/>
    <s v="Extended"/>
  </r>
  <r>
    <x v="515"/>
    <x v="514"/>
    <n v="26"/>
    <x v="1"/>
    <d v="2025-02-28T00:00:00"/>
    <d v="2025-03-10T00:00:00"/>
    <x v="1"/>
    <x v="3"/>
    <n v="2400"/>
    <x v="0"/>
    <x v="3"/>
    <s v="Nurse Lisa"/>
    <x v="1"/>
    <n v="10"/>
    <s v="Extended"/>
  </r>
  <r>
    <x v="516"/>
    <x v="515"/>
    <n v="90"/>
    <x v="1"/>
    <d v="2025-01-28T00:00:00"/>
    <d v="2025-02-08T00:00:00"/>
    <x v="1"/>
    <x v="1"/>
    <n v="3065"/>
    <x v="0"/>
    <x v="6"/>
    <s v="Nurse Rita"/>
    <x v="0"/>
    <n v="11"/>
    <s v="Extended"/>
  </r>
  <r>
    <x v="517"/>
    <x v="516"/>
    <n v="23"/>
    <x v="1"/>
    <d v="2025-05-19T00:00:00"/>
    <d v="2025-05-28T00:00:00"/>
    <x v="2"/>
    <x v="9"/>
    <n v="3208"/>
    <x v="0"/>
    <x v="0"/>
    <s v="Nurse Allen"/>
    <x v="2"/>
    <n v="9"/>
    <s v="Extended"/>
  </r>
  <r>
    <x v="518"/>
    <x v="517"/>
    <n v="55"/>
    <x v="0"/>
    <d v="2024-12-22T00:00:00"/>
    <d v="2025-01-02T00:00:00"/>
    <x v="1"/>
    <x v="3"/>
    <n v="9806"/>
    <x v="0"/>
    <x v="5"/>
    <s v="Nurse John"/>
    <x v="0"/>
    <n v="11"/>
    <s v="Extended"/>
  </r>
  <r>
    <x v="519"/>
    <x v="518"/>
    <n v="24"/>
    <x v="0"/>
    <d v="2025-03-22T00:00:00"/>
    <d v="2025-03-29T00:00:00"/>
    <x v="0"/>
    <x v="2"/>
    <n v="7616"/>
    <x v="0"/>
    <x v="1"/>
    <s v="Nurse Kelly"/>
    <x v="0"/>
    <n v="7"/>
    <s v="Extended"/>
  </r>
  <r>
    <x v="520"/>
    <x v="519"/>
    <n v="31"/>
    <x v="1"/>
    <d v="2024-07-25T00:00:00"/>
    <d v="2024-07-28T00:00:00"/>
    <x v="0"/>
    <x v="5"/>
    <n v="6861"/>
    <x v="1"/>
    <x v="3"/>
    <s v="Nurse John"/>
    <x v="1"/>
    <n v="3"/>
    <s v="Normal"/>
  </r>
  <r>
    <x v="521"/>
    <x v="520"/>
    <n v="67"/>
    <x v="1"/>
    <d v="2024-06-28T00:00:00"/>
    <d v="2024-07-12T00:00:00"/>
    <x v="1"/>
    <x v="2"/>
    <n v="4522"/>
    <x v="0"/>
    <x v="6"/>
    <s v="Nurse Lisa"/>
    <x v="0"/>
    <n v="14"/>
    <s v="Extended"/>
  </r>
  <r>
    <x v="522"/>
    <x v="521"/>
    <n v="22"/>
    <x v="0"/>
    <d v="2024-09-03T00:00:00"/>
    <d v="2024-09-08T00:00:00"/>
    <x v="5"/>
    <x v="5"/>
    <n v="1226"/>
    <x v="1"/>
    <x v="6"/>
    <s v="Nurse Allen"/>
    <x v="0"/>
    <n v="5"/>
    <s v="Extended"/>
  </r>
  <r>
    <x v="523"/>
    <x v="522"/>
    <n v="52"/>
    <x v="0"/>
    <d v="2024-08-17T00:00:00"/>
    <d v="2024-08-20T00:00:00"/>
    <x v="6"/>
    <x v="1"/>
    <n v="4684"/>
    <x v="1"/>
    <x v="5"/>
    <s v="Nurse Lisa"/>
    <x v="2"/>
    <n v="3"/>
    <s v="Normal"/>
  </r>
  <r>
    <x v="524"/>
    <x v="523"/>
    <n v="36"/>
    <x v="1"/>
    <d v="2024-12-29T00:00:00"/>
    <d v="2025-01-11T00:00:00"/>
    <x v="6"/>
    <x v="4"/>
    <n v="5456"/>
    <x v="1"/>
    <x v="2"/>
    <s v="Nurse Rita"/>
    <x v="2"/>
    <n v="13"/>
    <s v="Extended"/>
  </r>
  <r>
    <x v="525"/>
    <x v="524"/>
    <n v="85"/>
    <x v="1"/>
    <d v="2024-06-01T00:00:00"/>
    <d v="2024-06-06T00:00:00"/>
    <x v="6"/>
    <x v="3"/>
    <n v="1511"/>
    <x v="1"/>
    <x v="5"/>
    <s v="Nurse Kelly"/>
    <x v="2"/>
    <n v="5"/>
    <s v="Extended"/>
  </r>
  <r>
    <x v="526"/>
    <x v="525"/>
    <n v="73"/>
    <x v="0"/>
    <d v="2024-09-25T00:00:00"/>
    <d v="2024-09-27T00:00:00"/>
    <x v="4"/>
    <x v="0"/>
    <n v="2191"/>
    <x v="0"/>
    <x v="6"/>
    <s v="Nurse John"/>
    <x v="2"/>
    <n v="2"/>
    <s v="Normal"/>
  </r>
  <r>
    <x v="527"/>
    <x v="526"/>
    <n v="67"/>
    <x v="1"/>
    <d v="2024-11-19T00:00:00"/>
    <d v="2024-12-01T00:00:00"/>
    <x v="5"/>
    <x v="8"/>
    <n v="6359"/>
    <x v="1"/>
    <x v="0"/>
    <s v="Nurse Kelly"/>
    <x v="1"/>
    <n v="12"/>
    <s v="Extended"/>
  </r>
  <r>
    <x v="528"/>
    <x v="527"/>
    <n v="63"/>
    <x v="0"/>
    <d v="2024-12-18T00:00:00"/>
    <d v="2024-12-26T00:00:00"/>
    <x v="1"/>
    <x v="1"/>
    <n v="1490"/>
    <x v="0"/>
    <x v="1"/>
    <s v="Nurse John"/>
    <x v="2"/>
    <n v="8"/>
    <s v="Extended"/>
  </r>
  <r>
    <x v="529"/>
    <x v="528"/>
    <n v="68"/>
    <x v="1"/>
    <d v="2024-08-26T00:00:00"/>
    <d v="2024-08-30T00:00:00"/>
    <x v="5"/>
    <x v="8"/>
    <n v="8814"/>
    <x v="1"/>
    <x v="6"/>
    <s v="Nurse Mia"/>
    <x v="0"/>
    <n v="4"/>
    <s v="Extended"/>
  </r>
  <r>
    <x v="530"/>
    <x v="529"/>
    <n v="53"/>
    <x v="0"/>
    <d v="2025-01-17T00:00:00"/>
    <d v="2025-01-30T00:00:00"/>
    <x v="6"/>
    <x v="2"/>
    <n v="7286"/>
    <x v="0"/>
    <x v="3"/>
    <s v="Nurse John"/>
    <x v="0"/>
    <n v="13"/>
    <s v="Extended"/>
  </r>
  <r>
    <x v="531"/>
    <x v="530"/>
    <n v="83"/>
    <x v="1"/>
    <d v="2024-09-28T00:00:00"/>
    <d v="2024-10-02T00:00:00"/>
    <x v="3"/>
    <x v="7"/>
    <n v="6790"/>
    <x v="1"/>
    <x v="1"/>
    <s v="Nurse Allen"/>
    <x v="0"/>
    <n v="4"/>
    <s v="Extended"/>
  </r>
  <r>
    <x v="532"/>
    <x v="531"/>
    <n v="30"/>
    <x v="1"/>
    <d v="2024-09-08T00:00:00"/>
    <d v="2024-09-20T00:00:00"/>
    <x v="5"/>
    <x v="0"/>
    <n v="4612"/>
    <x v="0"/>
    <x v="6"/>
    <s v="Nurse Allen"/>
    <x v="1"/>
    <n v="12"/>
    <s v="Extended"/>
  </r>
  <r>
    <x v="533"/>
    <x v="532"/>
    <n v="85"/>
    <x v="1"/>
    <d v="2024-09-06T00:00:00"/>
    <d v="2024-09-18T00:00:00"/>
    <x v="3"/>
    <x v="7"/>
    <n v="7508"/>
    <x v="0"/>
    <x v="2"/>
    <s v="Nurse Lisa"/>
    <x v="1"/>
    <n v="12"/>
    <s v="Extended"/>
  </r>
  <r>
    <x v="534"/>
    <x v="533"/>
    <n v="68"/>
    <x v="0"/>
    <d v="2025-04-10T00:00:00"/>
    <d v="2025-04-13T00:00:00"/>
    <x v="0"/>
    <x v="4"/>
    <n v="8723"/>
    <x v="1"/>
    <x v="0"/>
    <s v="Nurse John"/>
    <x v="1"/>
    <n v="3"/>
    <s v="Normal"/>
  </r>
  <r>
    <x v="535"/>
    <x v="534"/>
    <n v="61"/>
    <x v="1"/>
    <d v="2024-09-04T00:00:00"/>
    <d v="2024-09-15T00:00:00"/>
    <x v="5"/>
    <x v="8"/>
    <n v="2964"/>
    <x v="1"/>
    <x v="6"/>
    <s v="Nurse Kelly"/>
    <x v="1"/>
    <n v="11"/>
    <s v="Extended"/>
  </r>
  <r>
    <x v="536"/>
    <x v="535"/>
    <n v="11"/>
    <x v="0"/>
    <d v="2024-12-05T00:00:00"/>
    <d v="2024-12-17T00:00:00"/>
    <x v="3"/>
    <x v="5"/>
    <n v="7232"/>
    <x v="0"/>
    <x v="4"/>
    <s v="Nurse Zoe"/>
    <x v="0"/>
    <n v="12"/>
    <s v="Extended"/>
  </r>
  <r>
    <x v="537"/>
    <x v="536"/>
    <n v="63"/>
    <x v="0"/>
    <d v="2024-11-25T00:00:00"/>
    <d v="2024-12-02T00:00:00"/>
    <x v="3"/>
    <x v="5"/>
    <n v="5732"/>
    <x v="1"/>
    <x v="6"/>
    <s v="Nurse Mia"/>
    <x v="2"/>
    <n v="7"/>
    <s v="Extended"/>
  </r>
  <r>
    <x v="538"/>
    <x v="537"/>
    <n v="80"/>
    <x v="1"/>
    <d v="2025-03-22T00:00:00"/>
    <d v="2025-04-04T00:00:00"/>
    <x v="4"/>
    <x v="9"/>
    <n v="9604"/>
    <x v="0"/>
    <x v="6"/>
    <s v="Nurse Kelly"/>
    <x v="2"/>
    <n v="13"/>
    <s v="Extended"/>
  </r>
  <r>
    <x v="539"/>
    <x v="538"/>
    <n v="56"/>
    <x v="1"/>
    <d v="2025-02-16T00:00:00"/>
    <d v="2025-03-01T00:00:00"/>
    <x v="5"/>
    <x v="2"/>
    <n v="6354"/>
    <x v="0"/>
    <x v="5"/>
    <s v="Nurse Zoe"/>
    <x v="1"/>
    <n v="13"/>
    <s v="Extended"/>
  </r>
  <r>
    <x v="540"/>
    <x v="539"/>
    <n v="18"/>
    <x v="1"/>
    <d v="2024-10-01T00:00:00"/>
    <d v="2024-10-04T00:00:00"/>
    <x v="3"/>
    <x v="3"/>
    <n v="5428"/>
    <x v="0"/>
    <x v="0"/>
    <s v="Nurse Lisa"/>
    <x v="0"/>
    <n v="3"/>
    <s v="Normal"/>
  </r>
  <r>
    <x v="541"/>
    <x v="540"/>
    <n v="35"/>
    <x v="1"/>
    <d v="2024-11-01T00:00:00"/>
    <d v="2024-11-06T00:00:00"/>
    <x v="3"/>
    <x v="5"/>
    <n v="4353"/>
    <x v="1"/>
    <x v="0"/>
    <s v="Nurse Mia"/>
    <x v="0"/>
    <n v="5"/>
    <s v="Extended"/>
  </r>
  <r>
    <x v="542"/>
    <x v="541"/>
    <n v="33"/>
    <x v="0"/>
    <d v="2024-08-28T00:00:00"/>
    <d v="2024-09-09T00:00:00"/>
    <x v="3"/>
    <x v="4"/>
    <n v="6667"/>
    <x v="1"/>
    <x v="2"/>
    <s v="Nurse Mia"/>
    <x v="2"/>
    <n v="12"/>
    <s v="Extended"/>
  </r>
  <r>
    <x v="543"/>
    <x v="542"/>
    <n v="4"/>
    <x v="1"/>
    <d v="2025-03-23T00:00:00"/>
    <d v="2025-04-05T00:00:00"/>
    <x v="1"/>
    <x v="8"/>
    <n v="7120"/>
    <x v="1"/>
    <x v="3"/>
    <s v="Nurse Kelly"/>
    <x v="2"/>
    <n v="13"/>
    <s v="Extended"/>
  </r>
  <r>
    <x v="544"/>
    <x v="543"/>
    <n v="78"/>
    <x v="1"/>
    <d v="2024-12-28T00:00:00"/>
    <d v="2024-12-31T00:00:00"/>
    <x v="6"/>
    <x v="9"/>
    <n v="7106"/>
    <x v="0"/>
    <x v="5"/>
    <s v="Nurse Rita"/>
    <x v="0"/>
    <n v="3"/>
    <s v="Normal"/>
  </r>
  <r>
    <x v="545"/>
    <x v="544"/>
    <n v="15"/>
    <x v="0"/>
    <d v="2024-07-08T00:00:00"/>
    <d v="2024-07-19T00:00:00"/>
    <x v="1"/>
    <x v="6"/>
    <n v="1764"/>
    <x v="1"/>
    <x v="3"/>
    <s v="Nurse Rita"/>
    <x v="2"/>
    <n v="11"/>
    <s v="Extended"/>
  </r>
  <r>
    <x v="546"/>
    <x v="545"/>
    <n v="69"/>
    <x v="1"/>
    <d v="2024-11-24T00:00:00"/>
    <d v="2024-12-03T00:00:00"/>
    <x v="3"/>
    <x v="5"/>
    <n v="4213"/>
    <x v="0"/>
    <x v="1"/>
    <s v="Nurse John"/>
    <x v="2"/>
    <n v="9"/>
    <s v="Extended"/>
  </r>
  <r>
    <x v="547"/>
    <x v="546"/>
    <n v="61"/>
    <x v="0"/>
    <d v="2025-05-29T00:00:00"/>
    <d v="2025-06-11T00:00:00"/>
    <x v="3"/>
    <x v="0"/>
    <n v="1683"/>
    <x v="0"/>
    <x v="5"/>
    <s v="Nurse Lisa"/>
    <x v="2"/>
    <n v="13"/>
    <s v="Extended"/>
  </r>
  <r>
    <x v="548"/>
    <x v="547"/>
    <n v="49"/>
    <x v="1"/>
    <d v="2025-01-09T00:00:00"/>
    <d v="2025-01-19T00:00:00"/>
    <x v="0"/>
    <x v="1"/>
    <n v="9363"/>
    <x v="1"/>
    <x v="2"/>
    <s v="Nurse Zoe"/>
    <x v="0"/>
    <n v="10"/>
    <s v="Extended"/>
  </r>
  <r>
    <x v="549"/>
    <x v="548"/>
    <n v="1"/>
    <x v="0"/>
    <d v="2024-07-30T00:00:00"/>
    <d v="2024-08-02T00:00:00"/>
    <x v="5"/>
    <x v="6"/>
    <n v="3623"/>
    <x v="1"/>
    <x v="3"/>
    <s v="Nurse Rita"/>
    <x v="1"/>
    <n v="3"/>
    <s v="Normal"/>
  </r>
  <r>
    <x v="550"/>
    <x v="549"/>
    <n v="45"/>
    <x v="1"/>
    <d v="2024-09-15T00:00:00"/>
    <d v="2024-09-17T00:00:00"/>
    <x v="3"/>
    <x v="6"/>
    <n v="9764"/>
    <x v="0"/>
    <x v="2"/>
    <s v="Nurse Mia"/>
    <x v="1"/>
    <n v="2"/>
    <s v="Normal"/>
  </r>
  <r>
    <x v="551"/>
    <x v="550"/>
    <n v="64"/>
    <x v="1"/>
    <d v="2024-10-20T00:00:00"/>
    <d v="2024-10-21T00:00:00"/>
    <x v="1"/>
    <x v="3"/>
    <n v="5729"/>
    <x v="1"/>
    <x v="1"/>
    <s v="Nurse John"/>
    <x v="0"/>
    <n v="1"/>
    <s v="Normal"/>
  </r>
  <r>
    <x v="552"/>
    <x v="551"/>
    <n v="16"/>
    <x v="1"/>
    <d v="2024-10-03T00:00:00"/>
    <d v="2024-10-13T00:00:00"/>
    <x v="3"/>
    <x v="0"/>
    <n v="7146"/>
    <x v="1"/>
    <x v="1"/>
    <s v="Nurse Allen"/>
    <x v="0"/>
    <n v="10"/>
    <s v="Extended"/>
  </r>
  <r>
    <x v="553"/>
    <x v="552"/>
    <n v="80"/>
    <x v="0"/>
    <d v="2025-04-12T00:00:00"/>
    <d v="2025-04-14T00:00:00"/>
    <x v="0"/>
    <x v="2"/>
    <n v="6837"/>
    <x v="0"/>
    <x v="2"/>
    <s v="Nurse Mia"/>
    <x v="1"/>
    <n v="2"/>
    <s v="Normal"/>
  </r>
  <r>
    <x v="554"/>
    <x v="553"/>
    <n v="88"/>
    <x v="0"/>
    <d v="2025-05-11T00:00:00"/>
    <d v="2025-05-18T00:00:00"/>
    <x v="2"/>
    <x v="2"/>
    <n v="2585"/>
    <x v="0"/>
    <x v="3"/>
    <s v="Nurse Allen"/>
    <x v="1"/>
    <n v="7"/>
    <s v="Extended"/>
  </r>
  <r>
    <x v="555"/>
    <x v="554"/>
    <n v="54"/>
    <x v="0"/>
    <d v="2024-12-05T00:00:00"/>
    <d v="2024-12-09T00:00:00"/>
    <x v="4"/>
    <x v="1"/>
    <n v="7521"/>
    <x v="0"/>
    <x v="1"/>
    <s v="Nurse John"/>
    <x v="1"/>
    <n v="4"/>
    <s v="Extended"/>
  </r>
  <r>
    <x v="556"/>
    <x v="555"/>
    <n v="48"/>
    <x v="0"/>
    <d v="2024-08-27T00:00:00"/>
    <d v="2024-09-04T00:00:00"/>
    <x v="5"/>
    <x v="0"/>
    <n v="6114"/>
    <x v="1"/>
    <x v="4"/>
    <s v="Nurse Rita"/>
    <x v="2"/>
    <n v="8"/>
    <s v="Extended"/>
  </r>
  <r>
    <x v="557"/>
    <x v="556"/>
    <n v="46"/>
    <x v="1"/>
    <d v="2025-04-04T00:00:00"/>
    <d v="2025-04-12T00:00:00"/>
    <x v="6"/>
    <x v="4"/>
    <n v="3964"/>
    <x v="0"/>
    <x v="2"/>
    <s v="Nurse Lisa"/>
    <x v="1"/>
    <n v="8"/>
    <s v="Extended"/>
  </r>
  <r>
    <x v="558"/>
    <x v="557"/>
    <n v="42"/>
    <x v="0"/>
    <d v="2024-11-21T00:00:00"/>
    <d v="2024-11-25T00:00:00"/>
    <x v="0"/>
    <x v="0"/>
    <n v="2134"/>
    <x v="1"/>
    <x v="1"/>
    <s v="Nurse Rita"/>
    <x v="1"/>
    <n v="4"/>
    <s v="Extended"/>
  </r>
  <r>
    <x v="559"/>
    <x v="558"/>
    <n v="12"/>
    <x v="0"/>
    <d v="2024-08-25T00:00:00"/>
    <d v="2024-09-08T00:00:00"/>
    <x v="1"/>
    <x v="4"/>
    <n v="2399"/>
    <x v="1"/>
    <x v="2"/>
    <s v="Nurse Allen"/>
    <x v="2"/>
    <n v="14"/>
    <s v="Extended"/>
  </r>
  <r>
    <x v="560"/>
    <x v="559"/>
    <n v="56"/>
    <x v="1"/>
    <d v="2024-09-06T00:00:00"/>
    <d v="2024-09-18T00:00:00"/>
    <x v="4"/>
    <x v="1"/>
    <n v="4974"/>
    <x v="0"/>
    <x v="0"/>
    <s v="Nurse Lisa"/>
    <x v="2"/>
    <n v="12"/>
    <s v="Extended"/>
  </r>
  <r>
    <x v="561"/>
    <x v="560"/>
    <n v="54"/>
    <x v="1"/>
    <d v="2024-11-06T00:00:00"/>
    <d v="2024-11-09T00:00:00"/>
    <x v="1"/>
    <x v="3"/>
    <n v="8501"/>
    <x v="1"/>
    <x v="6"/>
    <s v="Nurse John"/>
    <x v="1"/>
    <n v="3"/>
    <s v="Normal"/>
  </r>
  <r>
    <x v="562"/>
    <x v="561"/>
    <n v="52"/>
    <x v="1"/>
    <d v="2024-06-16T00:00:00"/>
    <d v="2024-06-29T00:00:00"/>
    <x v="5"/>
    <x v="3"/>
    <n v="1757"/>
    <x v="0"/>
    <x v="3"/>
    <s v="Nurse Rita"/>
    <x v="0"/>
    <n v="13"/>
    <s v="Extended"/>
  </r>
  <r>
    <x v="563"/>
    <x v="562"/>
    <n v="54"/>
    <x v="0"/>
    <d v="2024-12-15T00:00:00"/>
    <d v="2024-12-28T00:00:00"/>
    <x v="1"/>
    <x v="9"/>
    <n v="6850"/>
    <x v="0"/>
    <x v="3"/>
    <s v="Nurse Lisa"/>
    <x v="0"/>
    <n v="13"/>
    <s v="Extended"/>
  </r>
  <r>
    <x v="564"/>
    <x v="563"/>
    <n v="80"/>
    <x v="0"/>
    <d v="2025-01-01T00:00:00"/>
    <d v="2025-01-11T00:00:00"/>
    <x v="6"/>
    <x v="4"/>
    <n v="9864"/>
    <x v="0"/>
    <x v="0"/>
    <s v="Nurse Lisa"/>
    <x v="2"/>
    <n v="10"/>
    <s v="Extended"/>
  </r>
  <r>
    <x v="565"/>
    <x v="564"/>
    <n v="64"/>
    <x v="1"/>
    <d v="2024-11-30T00:00:00"/>
    <d v="2024-12-05T00:00:00"/>
    <x v="5"/>
    <x v="0"/>
    <n v="4337"/>
    <x v="1"/>
    <x v="2"/>
    <s v="Nurse Zoe"/>
    <x v="0"/>
    <n v="5"/>
    <s v="Extended"/>
  </r>
  <r>
    <x v="566"/>
    <x v="565"/>
    <n v="74"/>
    <x v="1"/>
    <d v="2024-07-09T00:00:00"/>
    <d v="2024-07-10T00:00:00"/>
    <x v="5"/>
    <x v="3"/>
    <n v="8471"/>
    <x v="1"/>
    <x v="5"/>
    <s v="Nurse Allen"/>
    <x v="2"/>
    <n v="1"/>
    <s v="Normal"/>
  </r>
  <r>
    <x v="567"/>
    <x v="566"/>
    <n v="43"/>
    <x v="0"/>
    <d v="2024-09-29T00:00:00"/>
    <d v="2024-10-02T00:00:00"/>
    <x v="2"/>
    <x v="2"/>
    <n v="7705"/>
    <x v="0"/>
    <x v="6"/>
    <s v="Nurse Mia"/>
    <x v="2"/>
    <n v="3"/>
    <s v="Normal"/>
  </r>
  <r>
    <x v="568"/>
    <x v="567"/>
    <n v="29"/>
    <x v="0"/>
    <d v="2025-03-25T00:00:00"/>
    <d v="2025-04-03T00:00:00"/>
    <x v="1"/>
    <x v="5"/>
    <n v="5066"/>
    <x v="0"/>
    <x v="0"/>
    <s v="Nurse Lisa"/>
    <x v="2"/>
    <n v="9"/>
    <s v="Extended"/>
  </r>
  <r>
    <x v="569"/>
    <x v="568"/>
    <n v="8"/>
    <x v="0"/>
    <d v="2025-03-01T00:00:00"/>
    <d v="2025-03-10T00:00:00"/>
    <x v="1"/>
    <x v="5"/>
    <n v="4962"/>
    <x v="0"/>
    <x v="3"/>
    <s v="Nurse Lisa"/>
    <x v="1"/>
    <n v="9"/>
    <s v="Extended"/>
  </r>
  <r>
    <x v="570"/>
    <x v="452"/>
    <n v="69"/>
    <x v="0"/>
    <d v="2025-01-27T00:00:00"/>
    <d v="2025-02-10T00:00:00"/>
    <x v="2"/>
    <x v="8"/>
    <n v="2426"/>
    <x v="0"/>
    <x v="5"/>
    <s v="Nurse Zoe"/>
    <x v="2"/>
    <n v="14"/>
    <s v="Extended"/>
  </r>
  <r>
    <x v="571"/>
    <x v="569"/>
    <n v="17"/>
    <x v="1"/>
    <d v="2024-09-20T00:00:00"/>
    <d v="2024-09-21T00:00:00"/>
    <x v="0"/>
    <x v="5"/>
    <n v="5243"/>
    <x v="0"/>
    <x v="5"/>
    <s v="Nurse John"/>
    <x v="1"/>
    <n v="1"/>
    <s v="Normal"/>
  </r>
  <r>
    <x v="572"/>
    <x v="570"/>
    <n v="58"/>
    <x v="0"/>
    <d v="2024-07-07T00:00:00"/>
    <d v="2024-07-17T00:00:00"/>
    <x v="5"/>
    <x v="5"/>
    <n v="7857"/>
    <x v="1"/>
    <x v="6"/>
    <s v="Nurse Kelly"/>
    <x v="0"/>
    <n v="10"/>
    <s v="Extended"/>
  </r>
  <r>
    <x v="573"/>
    <x v="571"/>
    <n v="40"/>
    <x v="1"/>
    <d v="2024-07-26T00:00:00"/>
    <d v="2024-08-05T00:00:00"/>
    <x v="4"/>
    <x v="9"/>
    <n v="1633"/>
    <x v="0"/>
    <x v="4"/>
    <s v="Nurse Zoe"/>
    <x v="2"/>
    <n v="10"/>
    <s v="Extended"/>
  </r>
  <r>
    <x v="574"/>
    <x v="572"/>
    <n v="7"/>
    <x v="1"/>
    <d v="2024-06-14T00:00:00"/>
    <d v="2024-06-28T00:00:00"/>
    <x v="0"/>
    <x v="2"/>
    <n v="4030"/>
    <x v="1"/>
    <x v="4"/>
    <s v="Nurse John"/>
    <x v="1"/>
    <n v="14"/>
    <s v="Extended"/>
  </r>
  <r>
    <x v="575"/>
    <x v="573"/>
    <n v="62"/>
    <x v="1"/>
    <d v="2024-10-22T00:00:00"/>
    <d v="2024-10-30T00:00:00"/>
    <x v="4"/>
    <x v="0"/>
    <n v="5229"/>
    <x v="1"/>
    <x v="1"/>
    <s v="Nurse Kelly"/>
    <x v="1"/>
    <n v="8"/>
    <s v="Extended"/>
  </r>
  <r>
    <x v="576"/>
    <x v="574"/>
    <n v="7"/>
    <x v="1"/>
    <d v="2025-04-07T00:00:00"/>
    <d v="2025-04-15T00:00:00"/>
    <x v="1"/>
    <x v="3"/>
    <n v="2235"/>
    <x v="0"/>
    <x v="6"/>
    <s v="Nurse John"/>
    <x v="2"/>
    <n v="8"/>
    <s v="Extended"/>
  </r>
  <r>
    <x v="577"/>
    <x v="575"/>
    <n v="64"/>
    <x v="1"/>
    <d v="2024-07-16T00:00:00"/>
    <d v="2024-07-18T00:00:00"/>
    <x v="1"/>
    <x v="5"/>
    <n v="1682"/>
    <x v="0"/>
    <x v="3"/>
    <s v="Nurse John"/>
    <x v="0"/>
    <n v="2"/>
    <s v="Normal"/>
  </r>
  <r>
    <x v="578"/>
    <x v="576"/>
    <n v="55"/>
    <x v="0"/>
    <d v="2024-08-12T00:00:00"/>
    <d v="2024-08-21T00:00:00"/>
    <x v="2"/>
    <x v="3"/>
    <n v="5251"/>
    <x v="1"/>
    <x v="4"/>
    <s v="Nurse John"/>
    <x v="1"/>
    <n v="9"/>
    <s v="Extended"/>
  </r>
  <r>
    <x v="579"/>
    <x v="577"/>
    <n v="69"/>
    <x v="1"/>
    <d v="2024-12-03T00:00:00"/>
    <d v="2024-12-14T00:00:00"/>
    <x v="3"/>
    <x v="2"/>
    <n v="5222"/>
    <x v="0"/>
    <x v="5"/>
    <s v="Nurse Rita"/>
    <x v="0"/>
    <n v="11"/>
    <s v="Extended"/>
  </r>
  <r>
    <x v="580"/>
    <x v="578"/>
    <n v="86"/>
    <x v="1"/>
    <d v="2025-03-20T00:00:00"/>
    <d v="2025-03-28T00:00:00"/>
    <x v="4"/>
    <x v="0"/>
    <n v="8258"/>
    <x v="1"/>
    <x v="5"/>
    <s v="Nurse Mia"/>
    <x v="2"/>
    <n v="8"/>
    <s v="Extended"/>
  </r>
  <r>
    <x v="581"/>
    <x v="579"/>
    <n v="81"/>
    <x v="0"/>
    <d v="2025-04-18T00:00:00"/>
    <d v="2025-04-24T00:00:00"/>
    <x v="5"/>
    <x v="8"/>
    <n v="6170"/>
    <x v="1"/>
    <x v="3"/>
    <s v="Nurse Zoe"/>
    <x v="2"/>
    <n v="6"/>
    <s v="Extended"/>
  </r>
  <r>
    <x v="582"/>
    <x v="580"/>
    <n v="78"/>
    <x v="0"/>
    <d v="2025-02-25T00:00:00"/>
    <d v="2025-02-28T00:00:00"/>
    <x v="0"/>
    <x v="5"/>
    <n v="4635"/>
    <x v="1"/>
    <x v="5"/>
    <s v="Nurse Mia"/>
    <x v="0"/>
    <n v="3"/>
    <s v="Normal"/>
  </r>
  <r>
    <x v="583"/>
    <x v="512"/>
    <n v="42"/>
    <x v="1"/>
    <d v="2024-07-20T00:00:00"/>
    <d v="2024-08-02T00:00:00"/>
    <x v="4"/>
    <x v="9"/>
    <n v="7591"/>
    <x v="0"/>
    <x v="5"/>
    <s v="Nurse Kelly"/>
    <x v="1"/>
    <n v="13"/>
    <s v="Extended"/>
  </r>
  <r>
    <x v="584"/>
    <x v="581"/>
    <n v="24"/>
    <x v="1"/>
    <d v="2024-08-30T00:00:00"/>
    <d v="2024-09-07T00:00:00"/>
    <x v="2"/>
    <x v="5"/>
    <n v="3664"/>
    <x v="1"/>
    <x v="3"/>
    <s v="Nurse Kelly"/>
    <x v="0"/>
    <n v="8"/>
    <s v="Extended"/>
  </r>
  <r>
    <x v="585"/>
    <x v="582"/>
    <n v="12"/>
    <x v="0"/>
    <d v="2025-02-01T00:00:00"/>
    <d v="2025-02-11T00:00:00"/>
    <x v="3"/>
    <x v="9"/>
    <n v="7574"/>
    <x v="1"/>
    <x v="1"/>
    <s v="Nurse John"/>
    <x v="0"/>
    <n v="10"/>
    <s v="Extended"/>
  </r>
  <r>
    <x v="586"/>
    <x v="583"/>
    <n v="36"/>
    <x v="0"/>
    <d v="2024-06-03T00:00:00"/>
    <d v="2024-06-10T00:00:00"/>
    <x v="6"/>
    <x v="4"/>
    <n v="9254"/>
    <x v="0"/>
    <x v="2"/>
    <s v="Nurse Lisa"/>
    <x v="2"/>
    <n v="7"/>
    <s v="Extended"/>
  </r>
  <r>
    <x v="587"/>
    <x v="584"/>
    <n v="43"/>
    <x v="1"/>
    <d v="2024-06-17T00:00:00"/>
    <d v="2024-06-24T00:00:00"/>
    <x v="4"/>
    <x v="0"/>
    <n v="7430"/>
    <x v="1"/>
    <x v="6"/>
    <s v="Nurse John"/>
    <x v="0"/>
    <n v="7"/>
    <s v="Extended"/>
  </r>
  <r>
    <x v="588"/>
    <x v="585"/>
    <n v="82"/>
    <x v="0"/>
    <d v="2024-11-25T00:00:00"/>
    <d v="2024-11-30T00:00:00"/>
    <x v="6"/>
    <x v="1"/>
    <n v="4381"/>
    <x v="1"/>
    <x v="4"/>
    <s v="Nurse Mia"/>
    <x v="2"/>
    <n v="5"/>
    <s v="Extended"/>
  </r>
  <r>
    <x v="589"/>
    <x v="586"/>
    <n v="4"/>
    <x v="1"/>
    <d v="2024-10-27T00:00:00"/>
    <d v="2024-11-10T00:00:00"/>
    <x v="6"/>
    <x v="8"/>
    <n v="5869"/>
    <x v="0"/>
    <x v="3"/>
    <s v="Nurse Lisa"/>
    <x v="2"/>
    <n v="14"/>
    <s v="Extended"/>
  </r>
  <r>
    <x v="590"/>
    <x v="587"/>
    <n v="28"/>
    <x v="1"/>
    <d v="2025-05-22T00:00:00"/>
    <d v="2025-06-04T00:00:00"/>
    <x v="5"/>
    <x v="4"/>
    <n v="7126"/>
    <x v="1"/>
    <x v="6"/>
    <s v="Nurse Kelly"/>
    <x v="1"/>
    <n v="13"/>
    <s v="Extended"/>
  </r>
  <r>
    <x v="591"/>
    <x v="588"/>
    <n v="46"/>
    <x v="1"/>
    <d v="2025-03-09T00:00:00"/>
    <d v="2025-03-18T00:00:00"/>
    <x v="5"/>
    <x v="5"/>
    <n v="7308"/>
    <x v="0"/>
    <x v="2"/>
    <s v="Nurse John"/>
    <x v="1"/>
    <n v="9"/>
    <s v="Extended"/>
  </r>
  <r>
    <x v="592"/>
    <x v="589"/>
    <n v="60"/>
    <x v="1"/>
    <d v="2025-01-03T00:00:00"/>
    <d v="2025-01-10T00:00:00"/>
    <x v="3"/>
    <x v="9"/>
    <n v="8164"/>
    <x v="0"/>
    <x v="5"/>
    <s v="Nurse Allen"/>
    <x v="0"/>
    <n v="7"/>
    <s v="Extended"/>
  </r>
  <r>
    <x v="593"/>
    <x v="590"/>
    <n v="90"/>
    <x v="1"/>
    <d v="2024-07-11T00:00:00"/>
    <d v="2024-07-25T00:00:00"/>
    <x v="4"/>
    <x v="4"/>
    <n v="9455"/>
    <x v="0"/>
    <x v="0"/>
    <s v="Nurse Kelly"/>
    <x v="0"/>
    <n v="14"/>
    <s v="Extended"/>
  </r>
  <r>
    <x v="594"/>
    <x v="591"/>
    <n v="61"/>
    <x v="0"/>
    <d v="2025-04-05T00:00:00"/>
    <d v="2025-04-12T00:00:00"/>
    <x v="5"/>
    <x v="0"/>
    <n v="4302"/>
    <x v="0"/>
    <x v="0"/>
    <s v="Nurse Allen"/>
    <x v="1"/>
    <n v="7"/>
    <s v="Extended"/>
  </r>
  <r>
    <x v="595"/>
    <x v="592"/>
    <n v="69"/>
    <x v="1"/>
    <d v="2024-10-04T00:00:00"/>
    <d v="2024-10-12T00:00:00"/>
    <x v="1"/>
    <x v="0"/>
    <n v="6413"/>
    <x v="0"/>
    <x v="1"/>
    <s v="Nurse Mia"/>
    <x v="0"/>
    <n v="8"/>
    <s v="Extended"/>
  </r>
  <r>
    <x v="596"/>
    <x v="593"/>
    <n v="57"/>
    <x v="0"/>
    <d v="2024-07-18T00:00:00"/>
    <d v="2024-07-24T00:00:00"/>
    <x v="4"/>
    <x v="2"/>
    <n v="6661"/>
    <x v="0"/>
    <x v="0"/>
    <s v="Nurse Mia"/>
    <x v="0"/>
    <n v="6"/>
    <s v="Extended"/>
  </r>
  <r>
    <x v="597"/>
    <x v="594"/>
    <n v="9"/>
    <x v="1"/>
    <d v="2024-06-07T00:00:00"/>
    <d v="2024-06-17T00:00:00"/>
    <x v="6"/>
    <x v="2"/>
    <n v="7983"/>
    <x v="1"/>
    <x v="0"/>
    <s v="Nurse John"/>
    <x v="2"/>
    <n v="10"/>
    <s v="Extended"/>
  </r>
  <r>
    <x v="598"/>
    <x v="595"/>
    <n v="58"/>
    <x v="0"/>
    <d v="2025-04-26T00:00:00"/>
    <d v="2025-05-06T00:00:00"/>
    <x v="0"/>
    <x v="6"/>
    <n v="2319"/>
    <x v="1"/>
    <x v="3"/>
    <s v="Nurse Mia"/>
    <x v="0"/>
    <n v="10"/>
    <s v="Extended"/>
  </r>
  <r>
    <x v="599"/>
    <x v="596"/>
    <n v="4"/>
    <x v="1"/>
    <d v="2025-05-29T00:00:00"/>
    <d v="2025-06-08T00:00:00"/>
    <x v="5"/>
    <x v="1"/>
    <n v="7960"/>
    <x v="0"/>
    <x v="4"/>
    <s v="Nurse Allen"/>
    <x v="1"/>
    <n v="10"/>
    <s v="Extended"/>
  </r>
  <r>
    <x v="600"/>
    <x v="597"/>
    <n v="23"/>
    <x v="1"/>
    <d v="2025-02-22T00:00:00"/>
    <d v="2025-02-28T00:00:00"/>
    <x v="2"/>
    <x v="9"/>
    <n v="2268"/>
    <x v="1"/>
    <x v="5"/>
    <s v="Nurse John"/>
    <x v="0"/>
    <n v="6"/>
    <s v="Extended"/>
  </r>
  <r>
    <x v="601"/>
    <x v="598"/>
    <n v="90"/>
    <x v="0"/>
    <d v="2024-11-18T00:00:00"/>
    <d v="2024-11-30T00:00:00"/>
    <x v="6"/>
    <x v="5"/>
    <n v="4016"/>
    <x v="0"/>
    <x v="4"/>
    <s v="Nurse Zoe"/>
    <x v="1"/>
    <n v="12"/>
    <s v="Extended"/>
  </r>
  <r>
    <x v="602"/>
    <x v="599"/>
    <n v="82"/>
    <x v="1"/>
    <d v="2024-08-31T00:00:00"/>
    <d v="2024-09-06T00:00:00"/>
    <x v="3"/>
    <x v="8"/>
    <n v="4033"/>
    <x v="0"/>
    <x v="4"/>
    <s v="Nurse Kelly"/>
    <x v="0"/>
    <n v="6"/>
    <s v="Extended"/>
  </r>
  <r>
    <x v="603"/>
    <x v="600"/>
    <n v="79"/>
    <x v="0"/>
    <d v="2025-01-07T00:00:00"/>
    <d v="2025-01-12T00:00:00"/>
    <x v="5"/>
    <x v="6"/>
    <n v="6693"/>
    <x v="1"/>
    <x v="3"/>
    <s v="Nurse Rita"/>
    <x v="1"/>
    <n v="5"/>
    <s v="Extended"/>
  </r>
  <r>
    <x v="604"/>
    <x v="601"/>
    <n v="72"/>
    <x v="1"/>
    <d v="2024-06-27T00:00:00"/>
    <d v="2024-06-29T00:00:00"/>
    <x v="1"/>
    <x v="1"/>
    <n v="5580"/>
    <x v="0"/>
    <x v="2"/>
    <s v="Nurse Kelly"/>
    <x v="0"/>
    <n v="2"/>
    <s v="Normal"/>
  </r>
  <r>
    <x v="605"/>
    <x v="602"/>
    <n v="31"/>
    <x v="1"/>
    <d v="2024-08-29T00:00:00"/>
    <d v="2024-09-01T00:00:00"/>
    <x v="2"/>
    <x v="3"/>
    <n v="6856"/>
    <x v="0"/>
    <x v="2"/>
    <s v="Nurse Zoe"/>
    <x v="1"/>
    <n v="3"/>
    <s v="Normal"/>
  </r>
  <r>
    <x v="606"/>
    <x v="603"/>
    <n v="50"/>
    <x v="1"/>
    <d v="2024-06-11T00:00:00"/>
    <d v="2024-06-22T00:00:00"/>
    <x v="6"/>
    <x v="9"/>
    <n v="1701"/>
    <x v="0"/>
    <x v="0"/>
    <s v="Nurse John"/>
    <x v="1"/>
    <n v="11"/>
    <s v="Extended"/>
  </r>
  <r>
    <x v="607"/>
    <x v="604"/>
    <n v="13"/>
    <x v="1"/>
    <d v="2024-11-16T00:00:00"/>
    <d v="2024-11-27T00:00:00"/>
    <x v="5"/>
    <x v="0"/>
    <n v="9700"/>
    <x v="1"/>
    <x v="0"/>
    <s v="Nurse Lisa"/>
    <x v="0"/>
    <n v="11"/>
    <s v="Extended"/>
  </r>
  <r>
    <x v="608"/>
    <x v="605"/>
    <n v="20"/>
    <x v="1"/>
    <d v="2024-12-29T00:00:00"/>
    <d v="2024-12-31T00:00:00"/>
    <x v="1"/>
    <x v="2"/>
    <n v="8851"/>
    <x v="0"/>
    <x v="5"/>
    <s v="Nurse Allen"/>
    <x v="2"/>
    <n v="2"/>
    <s v="Normal"/>
  </r>
  <r>
    <x v="609"/>
    <x v="606"/>
    <n v="84"/>
    <x v="1"/>
    <d v="2024-08-10T00:00:00"/>
    <d v="2024-08-17T00:00:00"/>
    <x v="6"/>
    <x v="3"/>
    <n v="8068"/>
    <x v="1"/>
    <x v="2"/>
    <s v="Nurse Kelly"/>
    <x v="2"/>
    <n v="7"/>
    <s v="Extended"/>
  </r>
  <r>
    <x v="610"/>
    <x v="607"/>
    <n v="53"/>
    <x v="0"/>
    <d v="2024-12-19T00:00:00"/>
    <d v="2024-12-27T00:00:00"/>
    <x v="3"/>
    <x v="3"/>
    <n v="4243"/>
    <x v="1"/>
    <x v="3"/>
    <s v="Nurse Allen"/>
    <x v="0"/>
    <n v="8"/>
    <s v="Extended"/>
  </r>
  <r>
    <x v="611"/>
    <x v="608"/>
    <n v="23"/>
    <x v="1"/>
    <d v="2024-08-07T00:00:00"/>
    <d v="2024-08-14T00:00:00"/>
    <x v="1"/>
    <x v="9"/>
    <n v="4109"/>
    <x v="1"/>
    <x v="0"/>
    <s v="Nurse Zoe"/>
    <x v="2"/>
    <n v="7"/>
    <s v="Extended"/>
  </r>
  <r>
    <x v="612"/>
    <x v="609"/>
    <n v="86"/>
    <x v="1"/>
    <d v="2025-03-15T00:00:00"/>
    <d v="2025-03-23T00:00:00"/>
    <x v="6"/>
    <x v="4"/>
    <n v="9520"/>
    <x v="1"/>
    <x v="3"/>
    <s v="Nurse Lisa"/>
    <x v="0"/>
    <n v="8"/>
    <s v="Extended"/>
  </r>
  <r>
    <x v="613"/>
    <x v="610"/>
    <n v="58"/>
    <x v="0"/>
    <d v="2024-10-27T00:00:00"/>
    <d v="2024-10-29T00:00:00"/>
    <x v="1"/>
    <x v="5"/>
    <n v="3172"/>
    <x v="0"/>
    <x v="6"/>
    <s v="Nurse Zoe"/>
    <x v="2"/>
    <n v="2"/>
    <s v="Normal"/>
  </r>
  <r>
    <x v="614"/>
    <x v="611"/>
    <n v="38"/>
    <x v="0"/>
    <d v="2024-08-14T00:00:00"/>
    <d v="2024-08-18T00:00:00"/>
    <x v="5"/>
    <x v="5"/>
    <n v="4506"/>
    <x v="0"/>
    <x v="4"/>
    <s v="Nurse Zoe"/>
    <x v="0"/>
    <n v="4"/>
    <s v="Extended"/>
  </r>
  <r>
    <x v="615"/>
    <x v="612"/>
    <n v="59"/>
    <x v="0"/>
    <d v="2024-07-19T00:00:00"/>
    <d v="2024-07-21T00:00:00"/>
    <x v="3"/>
    <x v="4"/>
    <n v="9748"/>
    <x v="0"/>
    <x v="0"/>
    <s v="Nurse Mia"/>
    <x v="0"/>
    <n v="2"/>
    <s v="Normal"/>
  </r>
  <r>
    <x v="616"/>
    <x v="613"/>
    <n v="1"/>
    <x v="1"/>
    <d v="2025-01-10T00:00:00"/>
    <d v="2025-01-15T00:00:00"/>
    <x v="0"/>
    <x v="4"/>
    <n v="1763"/>
    <x v="0"/>
    <x v="1"/>
    <s v="Nurse Rita"/>
    <x v="1"/>
    <n v="5"/>
    <s v="Extended"/>
  </r>
  <r>
    <x v="617"/>
    <x v="614"/>
    <n v="89"/>
    <x v="0"/>
    <d v="2024-12-14T00:00:00"/>
    <d v="2024-12-26T00:00:00"/>
    <x v="4"/>
    <x v="4"/>
    <n v="3781"/>
    <x v="1"/>
    <x v="4"/>
    <s v="Nurse Allen"/>
    <x v="0"/>
    <n v="12"/>
    <s v="Extended"/>
  </r>
  <r>
    <x v="618"/>
    <x v="615"/>
    <n v="87"/>
    <x v="0"/>
    <d v="2025-02-03T00:00:00"/>
    <d v="2025-02-17T00:00:00"/>
    <x v="2"/>
    <x v="1"/>
    <n v="7574"/>
    <x v="0"/>
    <x v="5"/>
    <s v="Nurse Kelly"/>
    <x v="1"/>
    <n v="14"/>
    <s v="Extended"/>
  </r>
  <r>
    <x v="619"/>
    <x v="616"/>
    <n v="2"/>
    <x v="0"/>
    <d v="2025-01-06T00:00:00"/>
    <d v="2025-01-15T00:00:00"/>
    <x v="3"/>
    <x v="4"/>
    <n v="4515"/>
    <x v="0"/>
    <x v="4"/>
    <s v="Nurse Zoe"/>
    <x v="2"/>
    <n v="9"/>
    <s v="Extended"/>
  </r>
  <r>
    <x v="620"/>
    <x v="617"/>
    <n v="89"/>
    <x v="1"/>
    <d v="2025-04-30T00:00:00"/>
    <d v="2025-05-05T00:00:00"/>
    <x v="3"/>
    <x v="5"/>
    <n v="1825"/>
    <x v="0"/>
    <x v="5"/>
    <s v="Nurse Allen"/>
    <x v="1"/>
    <n v="5"/>
    <s v="Extended"/>
  </r>
  <r>
    <x v="621"/>
    <x v="618"/>
    <n v="11"/>
    <x v="1"/>
    <d v="2025-02-20T00:00:00"/>
    <d v="2025-02-22T00:00:00"/>
    <x v="5"/>
    <x v="6"/>
    <n v="4566"/>
    <x v="1"/>
    <x v="1"/>
    <s v="Nurse Lisa"/>
    <x v="0"/>
    <n v="2"/>
    <s v="Normal"/>
  </r>
  <r>
    <x v="622"/>
    <x v="619"/>
    <n v="31"/>
    <x v="0"/>
    <d v="2025-01-16T00:00:00"/>
    <d v="2025-01-30T00:00:00"/>
    <x v="3"/>
    <x v="7"/>
    <n v="8538"/>
    <x v="0"/>
    <x v="1"/>
    <s v="Nurse Lisa"/>
    <x v="0"/>
    <n v="14"/>
    <s v="Extended"/>
  </r>
  <r>
    <x v="623"/>
    <x v="620"/>
    <n v="6"/>
    <x v="0"/>
    <d v="2025-05-08T00:00:00"/>
    <d v="2025-05-13T00:00:00"/>
    <x v="5"/>
    <x v="5"/>
    <n v="5320"/>
    <x v="0"/>
    <x v="2"/>
    <s v="Nurse Lisa"/>
    <x v="2"/>
    <n v="5"/>
    <s v="Extended"/>
  </r>
  <r>
    <x v="624"/>
    <x v="621"/>
    <n v="39"/>
    <x v="0"/>
    <d v="2025-05-03T00:00:00"/>
    <d v="2025-05-07T00:00:00"/>
    <x v="4"/>
    <x v="5"/>
    <n v="9274"/>
    <x v="0"/>
    <x v="4"/>
    <s v="Nurse Mia"/>
    <x v="2"/>
    <n v="4"/>
    <s v="Extended"/>
  </r>
  <r>
    <x v="625"/>
    <x v="622"/>
    <n v="31"/>
    <x v="0"/>
    <d v="2025-02-01T00:00:00"/>
    <d v="2025-02-07T00:00:00"/>
    <x v="1"/>
    <x v="0"/>
    <n v="1135"/>
    <x v="0"/>
    <x v="3"/>
    <s v="Nurse Zoe"/>
    <x v="0"/>
    <n v="6"/>
    <s v="Extended"/>
  </r>
  <r>
    <x v="626"/>
    <x v="623"/>
    <n v="7"/>
    <x v="1"/>
    <d v="2024-09-17T00:00:00"/>
    <d v="2024-09-21T00:00:00"/>
    <x v="6"/>
    <x v="3"/>
    <n v="7668"/>
    <x v="0"/>
    <x v="5"/>
    <s v="Nurse Kelly"/>
    <x v="2"/>
    <n v="4"/>
    <s v="Extended"/>
  </r>
  <r>
    <x v="627"/>
    <x v="624"/>
    <n v="6"/>
    <x v="0"/>
    <d v="2024-10-25T00:00:00"/>
    <d v="2024-10-29T00:00:00"/>
    <x v="5"/>
    <x v="1"/>
    <n v="5032"/>
    <x v="0"/>
    <x v="6"/>
    <s v="Nurse Allen"/>
    <x v="2"/>
    <n v="4"/>
    <s v="Extended"/>
  </r>
  <r>
    <x v="628"/>
    <x v="625"/>
    <n v="18"/>
    <x v="0"/>
    <d v="2025-02-15T00:00:00"/>
    <d v="2025-02-28T00:00:00"/>
    <x v="0"/>
    <x v="7"/>
    <n v="5010"/>
    <x v="0"/>
    <x v="5"/>
    <s v="Nurse Kelly"/>
    <x v="2"/>
    <n v="13"/>
    <s v="Extended"/>
  </r>
  <r>
    <x v="629"/>
    <x v="626"/>
    <n v="72"/>
    <x v="1"/>
    <d v="2024-10-11T00:00:00"/>
    <d v="2024-10-20T00:00:00"/>
    <x v="5"/>
    <x v="8"/>
    <n v="2882"/>
    <x v="1"/>
    <x v="1"/>
    <s v="Nurse Rita"/>
    <x v="2"/>
    <n v="9"/>
    <s v="Extended"/>
  </r>
  <r>
    <x v="630"/>
    <x v="627"/>
    <n v="42"/>
    <x v="0"/>
    <d v="2024-07-28T00:00:00"/>
    <d v="2024-08-10T00:00:00"/>
    <x v="2"/>
    <x v="7"/>
    <n v="9484"/>
    <x v="1"/>
    <x v="2"/>
    <s v="Nurse Lisa"/>
    <x v="1"/>
    <n v="13"/>
    <s v="Extended"/>
  </r>
  <r>
    <x v="631"/>
    <x v="628"/>
    <n v="58"/>
    <x v="1"/>
    <d v="2024-10-03T00:00:00"/>
    <d v="2024-10-13T00:00:00"/>
    <x v="4"/>
    <x v="5"/>
    <n v="3357"/>
    <x v="1"/>
    <x v="5"/>
    <s v="Nurse John"/>
    <x v="2"/>
    <n v="10"/>
    <s v="Extended"/>
  </r>
  <r>
    <x v="632"/>
    <x v="629"/>
    <n v="34"/>
    <x v="0"/>
    <d v="2024-09-07T00:00:00"/>
    <d v="2024-09-08T00:00:00"/>
    <x v="3"/>
    <x v="3"/>
    <n v="7154"/>
    <x v="1"/>
    <x v="6"/>
    <s v="Nurse John"/>
    <x v="1"/>
    <n v="1"/>
    <s v="Normal"/>
  </r>
  <r>
    <x v="633"/>
    <x v="630"/>
    <n v="28"/>
    <x v="0"/>
    <d v="2025-03-26T00:00:00"/>
    <d v="2025-04-03T00:00:00"/>
    <x v="1"/>
    <x v="1"/>
    <n v="7238"/>
    <x v="1"/>
    <x v="6"/>
    <s v="Nurse Kelly"/>
    <x v="1"/>
    <n v="8"/>
    <s v="Extended"/>
  </r>
  <r>
    <x v="634"/>
    <x v="631"/>
    <n v="44"/>
    <x v="0"/>
    <d v="2025-02-06T00:00:00"/>
    <d v="2025-02-16T00:00:00"/>
    <x v="4"/>
    <x v="5"/>
    <n v="8625"/>
    <x v="0"/>
    <x v="3"/>
    <s v="Nurse Zoe"/>
    <x v="2"/>
    <n v="10"/>
    <s v="Extended"/>
  </r>
  <r>
    <x v="635"/>
    <x v="632"/>
    <n v="19"/>
    <x v="1"/>
    <d v="2024-12-03T00:00:00"/>
    <d v="2024-12-11T00:00:00"/>
    <x v="2"/>
    <x v="8"/>
    <n v="7240"/>
    <x v="1"/>
    <x v="0"/>
    <s v="Nurse Allen"/>
    <x v="1"/>
    <n v="8"/>
    <s v="Extended"/>
  </r>
  <r>
    <x v="636"/>
    <x v="633"/>
    <n v="68"/>
    <x v="1"/>
    <d v="2025-05-23T00:00:00"/>
    <d v="2025-05-25T00:00:00"/>
    <x v="3"/>
    <x v="8"/>
    <n v="9416"/>
    <x v="0"/>
    <x v="1"/>
    <s v="Nurse Kelly"/>
    <x v="2"/>
    <n v="2"/>
    <s v="Normal"/>
  </r>
  <r>
    <x v="637"/>
    <x v="634"/>
    <n v="81"/>
    <x v="0"/>
    <d v="2024-08-03T00:00:00"/>
    <d v="2024-08-12T00:00:00"/>
    <x v="6"/>
    <x v="2"/>
    <n v="4720"/>
    <x v="1"/>
    <x v="4"/>
    <s v="Nurse Kelly"/>
    <x v="2"/>
    <n v="9"/>
    <s v="Extended"/>
  </r>
  <r>
    <x v="638"/>
    <x v="635"/>
    <n v="75"/>
    <x v="0"/>
    <d v="2024-07-19T00:00:00"/>
    <d v="2024-08-01T00:00:00"/>
    <x v="1"/>
    <x v="2"/>
    <n v="7440"/>
    <x v="0"/>
    <x v="6"/>
    <s v="Nurse John"/>
    <x v="0"/>
    <n v="13"/>
    <s v="Extended"/>
  </r>
  <r>
    <x v="639"/>
    <x v="636"/>
    <n v="65"/>
    <x v="1"/>
    <d v="2024-09-06T00:00:00"/>
    <d v="2024-09-14T00:00:00"/>
    <x v="3"/>
    <x v="0"/>
    <n v="4974"/>
    <x v="0"/>
    <x v="2"/>
    <s v="Nurse Rita"/>
    <x v="1"/>
    <n v="8"/>
    <s v="Extended"/>
  </r>
  <r>
    <x v="640"/>
    <x v="637"/>
    <n v="7"/>
    <x v="0"/>
    <d v="2024-07-09T00:00:00"/>
    <d v="2024-07-16T00:00:00"/>
    <x v="0"/>
    <x v="7"/>
    <n v="9469"/>
    <x v="0"/>
    <x v="1"/>
    <s v="Nurse Lisa"/>
    <x v="2"/>
    <n v="7"/>
    <s v="Extended"/>
  </r>
  <r>
    <x v="641"/>
    <x v="638"/>
    <n v="64"/>
    <x v="0"/>
    <d v="2024-09-19T00:00:00"/>
    <d v="2024-09-20T00:00:00"/>
    <x v="1"/>
    <x v="7"/>
    <n v="4640"/>
    <x v="0"/>
    <x v="4"/>
    <s v="Nurse John"/>
    <x v="1"/>
    <n v="1"/>
    <s v="Normal"/>
  </r>
  <r>
    <x v="642"/>
    <x v="639"/>
    <n v="22"/>
    <x v="1"/>
    <d v="2025-05-15T00:00:00"/>
    <d v="2025-05-22T00:00:00"/>
    <x v="6"/>
    <x v="8"/>
    <n v="2253"/>
    <x v="1"/>
    <x v="0"/>
    <s v="Nurse Kelly"/>
    <x v="1"/>
    <n v="7"/>
    <s v="Extended"/>
  </r>
  <r>
    <x v="643"/>
    <x v="640"/>
    <n v="79"/>
    <x v="1"/>
    <d v="2024-06-10T00:00:00"/>
    <d v="2024-06-18T00:00:00"/>
    <x v="5"/>
    <x v="1"/>
    <n v="8533"/>
    <x v="1"/>
    <x v="1"/>
    <s v="Nurse Rita"/>
    <x v="0"/>
    <n v="8"/>
    <s v="Extended"/>
  </r>
  <r>
    <x v="644"/>
    <x v="641"/>
    <n v="55"/>
    <x v="1"/>
    <d v="2025-01-26T00:00:00"/>
    <d v="2025-02-04T00:00:00"/>
    <x v="6"/>
    <x v="9"/>
    <n v="5052"/>
    <x v="1"/>
    <x v="3"/>
    <s v="Nurse Rita"/>
    <x v="0"/>
    <n v="9"/>
    <s v="Extended"/>
  </r>
  <r>
    <x v="645"/>
    <x v="642"/>
    <n v="76"/>
    <x v="1"/>
    <d v="2024-10-26T00:00:00"/>
    <d v="2024-11-07T00:00:00"/>
    <x v="6"/>
    <x v="8"/>
    <n v="9721"/>
    <x v="1"/>
    <x v="4"/>
    <s v="Nurse Mia"/>
    <x v="1"/>
    <n v="12"/>
    <s v="Extended"/>
  </r>
  <r>
    <x v="646"/>
    <x v="643"/>
    <n v="61"/>
    <x v="0"/>
    <d v="2025-01-13T00:00:00"/>
    <d v="2025-01-20T00:00:00"/>
    <x v="6"/>
    <x v="6"/>
    <n v="5242"/>
    <x v="1"/>
    <x v="0"/>
    <s v="Nurse Mia"/>
    <x v="2"/>
    <n v="7"/>
    <s v="Extended"/>
  </r>
  <r>
    <x v="647"/>
    <x v="644"/>
    <n v="63"/>
    <x v="1"/>
    <d v="2024-07-12T00:00:00"/>
    <d v="2024-07-22T00:00:00"/>
    <x v="1"/>
    <x v="6"/>
    <n v="5829"/>
    <x v="1"/>
    <x v="1"/>
    <s v="Nurse Rita"/>
    <x v="2"/>
    <n v="10"/>
    <s v="Extended"/>
  </r>
  <r>
    <x v="648"/>
    <x v="645"/>
    <n v="47"/>
    <x v="1"/>
    <d v="2024-09-17T00:00:00"/>
    <d v="2024-09-18T00:00:00"/>
    <x v="0"/>
    <x v="5"/>
    <n v="5654"/>
    <x v="0"/>
    <x v="6"/>
    <s v="Nurse Allen"/>
    <x v="1"/>
    <n v="1"/>
    <s v="Normal"/>
  </r>
  <r>
    <x v="649"/>
    <x v="646"/>
    <n v="48"/>
    <x v="0"/>
    <d v="2025-02-10T00:00:00"/>
    <d v="2025-02-11T00:00:00"/>
    <x v="5"/>
    <x v="6"/>
    <n v="5123"/>
    <x v="0"/>
    <x v="5"/>
    <s v="Nurse Mia"/>
    <x v="0"/>
    <n v="1"/>
    <s v="Normal"/>
  </r>
  <r>
    <x v="650"/>
    <x v="647"/>
    <n v="20"/>
    <x v="0"/>
    <d v="2024-12-10T00:00:00"/>
    <d v="2024-12-15T00:00:00"/>
    <x v="2"/>
    <x v="6"/>
    <n v="1732"/>
    <x v="1"/>
    <x v="2"/>
    <s v="Nurse Allen"/>
    <x v="0"/>
    <n v="5"/>
    <s v="Extended"/>
  </r>
  <r>
    <x v="651"/>
    <x v="648"/>
    <n v="58"/>
    <x v="0"/>
    <d v="2025-02-14T00:00:00"/>
    <d v="2025-02-19T00:00:00"/>
    <x v="1"/>
    <x v="1"/>
    <n v="6924"/>
    <x v="0"/>
    <x v="6"/>
    <s v="Nurse Allen"/>
    <x v="2"/>
    <n v="5"/>
    <s v="Extended"/>
  </r>
  <r>
    <x v="652"/>
    <x v="649"/>
    <n v="82"/>
    <x v="1"/>
    <d v="2025-05-05T00:00:00"/>
    <d v="2025-05-16T00:00:00"/>
    <x v="1"/>
    <x v="3"/>
    <n v="2287"/>
    <x v="1"/>
    <x v="6"/>
    <s v="Nurse Mia"/>
    <x v="2"/>
    <n v="11"/>
    <s v="Extended"/>
  </r>
  <r>
    <x v="653"/>
    <x v="650"/>
    <n v="7"/>
    <x v="1"/>
    <d v="2024-07-09T00:00:00"/>
    <d v="2024-07-16T00:00:00"/>
    <x v="0"/>
    <x v="5"/>
    <n v="2494"/>
    <x v="0"/>
    <x v="0"/>
    <s v="Nurse John"/>
    <x v="0"/>
    <n v="7"/>
    <s v="Extended"/>
  </r>
  <r>
    <x v="654"/>
    <x v="651"/>
    <n v="54"/>
    <x v="0"/>
    <d v="2024-07-15T00:00:00"/>
    <d v="2024-07-26T00:00:00"/>
    <x v="2"/>
    <x v="8"/>
    <n v="6767"/>
    <x v="1"/>
    <x v="2"/>
    <s v="Nurse Mia"/>
    <x v="2"/>
    <n v="11"/>
    <s v="Extended"/>
  </r>
  <r>
    <x v="655"/>
    <x v="652"/>
    <n v="8"/>
    <x v="0"/>
    <d v="2024-08-19T00:00:00"/>
    <d v="2024-08-26T00:00:00"/>
    <x v="5"/>
    <x v="8"/>
    <n v="1441"/>
    <x v="0"/>
    <x v="0"/>
    <s v="Nurse Mia"/>
    <x v="2"/>
    <n v="7"/>
    <s v="Extended"/>
  </r>
  <r>
    <x v="656"/>
    <x v="653"/>
    <n v="20"/>
    <x v="1"/>
    <d v="2024-06-25T00:00:00"/>
    <d v="2024-07-03T00:00:00"/>
    <x v="4"/>
    <x v="7"/>
    <n v="2167"/>
    <x v="0"/>
    <x v="2"/>
    <s v="Nurse Rita"/>
    <x v="0"/>
    <n v="8"/>
    <s v="Extended"/>
  </r>
  <r>
    <x v="657"/>
    <x v="654"/>
    <n v="73"/>
    <x v="0"/>
    <d v="2024-06-20T00:00:00"/>
    <d v="2024-07-03T00:00:00"/>
    <x v="6"/>
    <x v="1"/>
    <n v="7956"/>
    <x v="0"/>
    <x v="1"/>
    <s v="Nurse Rita"/>
    <x v="1"/>
    <n v="13"/>
    <s v="Extended"/>
  </r>
  <r>
    <x v="658"/>
    <x v="655"/>
    <n v="82"/>
    <x v="1"/>
    <d v="2024-11-08T00:00:00"/>
    <d v="2024-11-17T00:00:00"/>
    <x v="2"/>
    <x v="6"/>
    <n v="7673"/>
    <x v="0"/>
    <x v="4"/>
    <s v="Nurse Allen"/>
    <x v="1"/>
    <n v="9"/>
    <s v="Extended"/>
  </r>
  <r>
    <x v="659"/>
    <x v="656"/>
    <n v="31"/>
    <x v="1"/>
    <d v="2025-01-29T00:00:00"/>
    <d v="2025-02-03T00:00:00"/>
    <x v="3"/>
    <x v="2"/>
    <n v="8401"/>
    <x v="1"/>
    <x v="6"/>
    <s v="Nurse Lisa"/>
    <x v="0"/>
    <n v="5"/>
    <s v="Extended"/>
  </r>
  <r>
    <x v="660"/>
    <x v="657"/>
    <n v="42"/>
    <x v="0"/>
    <d v="2024-11-13T00:00:00"/>
    <d v="2024-11-25T00:00:00"/>
    <x v="5"/>
    <x v="0"/>
    <n v="9215"/>
    <x v="1"/>
    <x v="5"/>
    <s v="Nurse Mia"/>
    <x v="1"/>
    <n v="12"/>
    <s v="Extended"/>
  </r>
  <r>
    <x v="661"/>
    <x v="658"/>
    <n v="70"/>
    <x v="1"/>
    <d v="2025-01-14T00:00:00"/>
    <d v="2025-01-22T00:00:00"/>
    <x v="3"/>
    <x v="8"/>
    <n v="4345"/>
    <x v="1"/>
    <x v="4"/>
    <s v="Nurse Allen"/>
    <x v="0"/>
    <n v="8"/>
    <s v="Extended"/>
  </r>
  <r>
    <x v="662"/>
    <x v="659"/>
    <n v="17"/>
    <x v="1"/>
    <d v="2025-04-28T00:00:00"/>
    <d v="2025-05-12T00:00:00"/>
    <x v="1"/>
    <x v="7"/>
    <n v="8981"/>
    <x v="0"/>
    <x v="1"/>
    <s v="Nurse Kelly"/>
    <x v="1"/>
    <n v="14"/>
    <s v="Extended"/>
  </r>
  <r>
    <x v="663"/>
    <x v="660"/>
    <n v="3"/>
    <x v="1"/>
    <d v="2025-01-14T00:00:00"/>
    <d v="2025-01-21T00:00:00"/>
    <x v="4"/>
    <x v="8"/>
    <n v="8367"/>
    <x v="1"/>
    <x v="6"/>
    <s v="Nurse Lisa"/>
    <x v="0"/>
    <n v="7"/>
    <s v="Extended"/>
  </r>
  <r>
    <x v="664"/>
    <x v="661"/>
    <n v="41"/>
    <x v="1"/>
    <d v="2025-02-10T00:00:00"/>
    <d v="2025-02-18T00:00:00"/>
    <x v="2"/>
    <x v="4"/>
    <n v="5925"/>
    <x v="0"/>
    <x v="5"/>
    <s v="Nurse Zoe"/>
    <x v="0"/>
    <n v="8"/>
    <s v="Extended"/>
  </r>
  <r>
    <x v="665"/>
    <x v="662"/>
    <n v="79"/>
    <x v="0"/>
    <d v="2024-06-21T00:00:00"/>
    <d v="2024-07-03T00:00:00"/>
    <x v="0"/>
    <x v="5"/>
    <n v="7260"/>
    <x v="1"/>
    <x v="0"/>
    <s v="Nurse Kelly"/>
    <x v="0"/>
    <n v="12"/>
    <s v="Extended"/>
  </r>
  <r>
    <x v="666"/>
    <x v="663"/>
    <n v="52"/>
    <x v="0"/>
    <d v="2025-03-21T00:00:00"/>
    <d v="2025-03-25T00:00:00"/>
    <x v="2"/>
    <x v="4"/>
    <n v="6644"/>
    <x v="0"/>
    <x v="2"/>
    <s v="Nurse Zoe"/>
    <x v="2"/>
    <n v="4"/>
    <s v="Extended"/>
  </r>
  <r>
    <x v="667"/>
    <x v="664"/>
    <n v="36"/>
    <x v="0"/>
    <d v="2025-05-02T00:00:00"/>
    <d v="2025-05-04T00:00:00"/>
    <x v="6"/>
    <x v="7"/>
    <n v="5515"/>
    <x v="0"/>
    <x v="6"/>
    <s v="Nurse Mia"/>
    <x v="2"/>
    <n v="2"/>
    <s v="Normal"/>
  </r>
  <r>
    <x v="668"/>
    <x v="665"/>
    <n v="51"/>
    <x v="0"/>
    <d v="2024-12-21T00:00:00"/>
    <d v="2025-01-03T00:00:00"/>
    <x v="6"/>
    <x v="8"/>
    <n v="5130"/>
    <x v="0"/>
    <x v="4"/>
    <s v="Nurse Kelly"/>
    <x v="1"/>
    <n v="13"/>
    <s v="Extended"/>
  </r>
  <r>
    <x v="669"/>
    <x v="666"/>
    <n v="63"/>
    <x v="0"/>
    <d v="2024-08-25T00:00:00"/>
    <d v="2024-09-06T00:00:00"/>
    <x v="3"/>
    <x v="5"/>
    <n v="2070"/>
    <x v="0"/>
    <x v="5"/>
    <s v="Nurse Lisa"/>
    <x v="1"/>
    <n v="12"/>
    <s v="Extended"/>
  </r>
  <r>
    <x v="670"/>
    <x v="667"/>
    <n v="24"/>
    <x v="1"/>
    <d v="2024-11-30T00:00:00"/>
    <d v="2024-12-06T00:00:00"/>
    <x v="4"/>
    <x v="3"/>
    <n v="8537"/>
    <x v="1"/>
    <x v="3"/>
    <s v="Nurse Zoe"/>
    <x v="0"/>
    <n v="6"/>
    <s v="Extended"/>
  </r>
  <r>
    <x v="671"/>
    <x v="668"/>
    <n v="23"/>
    <x v="1"/>
    <d v="2024-09-27T00:00:00"/>
    <d v="2024-10-05T00:00:00"/>
    <x v="3"/>
    <x v="7"/>
    <n v="4758"/>
    <x v="0"/>
    <x v="3"/>
    <s v="Nurse Kelly"/>
    <x v="0"/>
    <n v="8"/>
    <s v="Extended"/>
  </r>
  <r>
    <x v="672"/>
    <x v="669"/>
    <n v="10"/>
    <x v="0"/>
    <d v="2025-04-21T00:00:00"/>
    <d v="2025-04-29T00:00:00"/>
    <x v="6"/>
    <x v="5"/>
    <n v="5749"/>
    <x v="0"/>
    <x v="4"/>
    <s v="Nurse Zoe"/>
    <x v="1"/>
    <n v="8"/>
    <s v="Extended"/>
  </r>
  <r>
    <x v="673"/>
    <x v="670"/>
    <n v="43"/>
    <x v="0"/>
    <d v="2024-06-18T00:00:00"/>
    <d v="2024-07-02T00:00:00"/>
    <x v="4"/>
    <x v="5"/>
    <n v="4400"/>
    <x v="1"/>
    <x v="3"/>
    <s v="Nurse Lisa"/>
    <x v="2"/>
    <n v="14"/>
    <s v="Extended"/>
  </r>
  <r>
    <x v="674"/>
    <x v="671"/>
    <n v="33"/>
    <x v="1"/>
    <d v="2025-03-06T00:00:00"/>
    <d v="2025-03-07T00:00:00"/>
    <x v="4"/>
    <x v="7"/>
    <n v="8716"/>
    <x v="0"/>
    <x v="2"/>
    <s v="Nurse John"/>
    <x v="2"/>
    <n v="1"/>
    <s v="Normal"/>
  </r>
  <r>
    <x v="675"/>
    <x v="672"/>
    <n v="40"/>
    <x v="1"/>
    <d v="2024-12-07T00:00:00"/>
    <d v="2024-12-09T00:00:00"/>
    <x v="4"/>
    <x v="4"/>
    <n v="3144"/>
    <x v="1"/>
    <x v="3"/>
    <s v="Nurse John"/>
    <x v="1"/>
    <n v="2"/>
    <s v="Normal"/>
  </r>
  <r>
    <x v="676"/>
    <x v="501"/>
    <n v="43"/>
    <x v="0"/>
    <d v="2025-03-21T00:00:00"/>
    <d v="2025-03-22T00:00:00"/>
    <x v="4"/>
    <x v="7"/>
    <n v="7065"/>
    <x v="1"/>
    <x v="0"/>
    <s v="Nurse Zoe"/>
    <x v="1"/>
    <n v="1"/>
    <s v="Normal"/>
  </r>
  <r>
    <x v="677"/>
    <x v="673"/>
    <n v="45"/>
    <x v="1"/>
    <d v="2024-07-11T00:00:00"/>
    <d v="2024-07-24T00:00:00"/>
    <x v="3"/>
    <x v="9"/>
    <n v="7158"/>
    <x v="1"/>
    <x v="2"/>
    <s v="Nurse Lisa"/>
    <x v="0"/>
    <n v="13"/>
    <s v="Extended"/>
  </r>
  <r>
    <x v="678"/>
    <x v="674"/>
    <n v="81"/>
    <x v="1"/>
    <d v="2024-07-25T00:00:00"/>
    <d v="2024-08-03T00:00:00"/>
    <x v="0"/>
    <x v="8"/>
    <n v="2257"/>
    <x v="0"/>
    <x v="1"/>
    <s v="Nurse Lisa"/>
    <x v="2"/>
    <n v="9"/>
    <s v="Extended"/>
  </r>
  <r>
    <x v="679"/>
    <x v="675"/>
    <n v="14"/>
    <x v="1"/>
    <d v="2024-11-23T00:00:00"/>
    <d v="2024-12-05T00:00:00"/>
    <x v="1"/>
    <x v="5"/>
    <n v="3750"/>
    <x v="0"/>
    <x v="2"/>
    <s v="Nurse Mia"/>
    <x v="0"/>
    <n v="12"/>
    <s v="Extended"/>
  </r>
  <r>
    <x v="680"/>
    <x v="676"/>
    <n v="49"/>
    <x v="0"/>
    <d v="2024-09-12T00:00:00"/>
    <d v="2024-09-22T00:00:00"/>
    <x v="3"/>
    <x v="9"/>
    <n v="4266"/>
    <x v="1"/>
    <x v="4"/>
    <s v="Nurse John"/>
    <x v="1"/>
    <n v="10"/>
    <s v="Extended"/>
  </r>
  <r>
    <x v="681"/>
    <x v="677"/>
    <n v="10"/>
    <x v="1"/>
    <d v="2024-11-07T00:00:00"/>
    <d v="2024-11-21T00:00:00"/>
    <x v="2"/>
    <x v="2"/>
    <n v="8798"/>
    <x v="0"/>
    <x v="5"/>
    <s v="Nurse John"/>
    <x v="1"/>
    <n v="14"/>
    <s v="Extended"/>
  </r>
  <r>
    <x v="682"/>
    <x v="678"/>
    <n v="63"/>
    <x v="1"/>
    <d v="2025-03-19T00:00:00"/>
    <d v="2025-03-20T00:00:00"/>
    <x v="1"/>
    <x v="8"/>
    <n v="2200"/>
    <x v="1"/>
    <x v="5"/>
    <s v="Nurse John"/>
    <x v="0"/>
    <n v="1"/>
    <s v="Normal"/>
  </r>
  <r>
    <x v="683"/>
    <x v="679"/>
    <n v="66"/>
    <x v="0"/>
    <d v="2024-12-23T00:00:00"/>
    <d v="2024-12-24T00:00:00"/>
    <x v="1"/>
    <x v="2"/>
    <n v="9332"/>
    <x v="1"/>
    <x v="6"/>
    <s v="Nurse Rita"/>
    <x v="1"/>
    <n v="1"/>
    <s v="Normal"/>
  </r>
  <r>
    <x v="684"/>
    <x v="680"/>
    <n v="32"/>
    <x v="1"/>
    <d v="2024-12-03T00:00:00"/>
    <d v="2024-12-17T00:00:00"/>
    <x v="0"/>
    <x v="8"/>
    <n v="7041"/>
    <x v="1"/>
    <x v="5"/>
    <s v="Nurse Zoe"/>
    <x v="1"/>
    <n v="14"/>
    <s v="Extended"/>
  </r>
  <r>
    <x v="685"/>
    <x v="681"/>
    <n v="54"/>
    <x v="0"/>
    <d v="2024-08-22T00:00:00"/>
    <d v="2024-08-31T00:00:00"/>
    <x v="2"/>
    <x v="2"/>
    <n v="5841"/>
    <x v="0"/>
    <x v="6"/>
    <s v="Nurse John"/>
    <x v="2"/>
    <n v="9"/>
    <s v="Extended"/>
  </r>
  <r>
    <x v="686"/>
    <x v="682"/>
    <n v="51"/>
    <x v="1"/>
    <d v="2025-05-20T00:00:00"/>
    <d v="2025-05-27T00:00:00"/>
    <x v="2"/>
    <x v="0"/>
    <n v="7698"/>
    <x v="1"/>
    <x v="3"/>
    <s v="Nurse Lisa"/>
    <x v="1"/>
    <n v="7"/>
    <s v="Extended"/>
  </r>
  <r>
    <x v="687"/>
    <x v="683"/>
    <n v="27"/>
    <x v="1"/>
    <d v="2025-01-26T00:00:00"/>
    <d v="2025-02-08T00:00:00"/>
    <x v="4"/>
    <x v="0"/>
    <n v="6722"/>
    <x v="1"/>
    <x v="1"/>
    <s v="Nurse Allen"/>
    <x v="1"/>
    <n v="13"/>
    <s v="Extended"/>
  </r>
  <r>
    <x v="688"/>
    <x v="684"/>
    <n v="66"/>
    <x v="1"/>
    <d v="2024-12-06T00:00:00"/>
    <d v="2024-12-11T00:00:00"/>
    <x v="5"/>
    <x v="2"/>
    <n v="2736"/>
    <x v="0"/>
    <x v="2"/>
    <s v="Nurse Allen"/>
    <x v="0"/>
    <n v="5"/>
    <s v="Extended"/>
  </r>
  <r>
    <x v="689"/>
    <x v="685"/>
    <n v="17"/>
    <x v="0"/>
    <d v="2024-10-07T00:00:00"/>
    <d v="2024-10-11T00:00:00"/>
    <x v="5"/>
    <x v="6"/>
    <n v="6753"/>
    <x v="1"/>
    <x v="2"/>
    <s v="Nurse Zoe"/>
    <x v="2"/>
    <n v="4"/>
    <s v="Extended"/>
  </r>
  <r>
    <x v="690"/>
    <x v="72"/>
    <n v="28"/>
    <x v="1"/>
    <d v="2024-08-03T00:00:00"/>
    <d v="2024-08-10T00:00:00"/>
    <x v="0"/>
    <x v="1"/>
    <n v="9411"/>
    <x v="1"/>
    <x v="3"/>
    <s v="Nurse Zoe"/>
    <x v="0"/>
    <n v="7"/>
    <s v="Extended"/>
  </r>
  <r>
    <x v="691"/>
    <x v="686"/>
    <n v="63"/>
    <x v="1"/>
    <d v="2024-12-21T00:00:00"/>
    <d v="2024-12-25T00:00:00"/>
    <x v="1"/>
    <x v="9"/>
    <n v="6087"/>
    <x v="1"/>
    <x v="0"/>
    <s v="Nurse Kelly"/>
    <x v="1"/>
    <n v="4"/>
    <s v="Extended"/>
  </r>
  <r>
    <x v="692"/>
    <x v="687"/>
    <n v="15"/>
    <x v="1"/>
    <d v="2024-06-20T00:00:00"/>
    <d v="2024-06-28T00:00:00"/>
    <x v="5"/>
    <x v="1"/>
    <n v="7387"/>
    <x v="1"/>
    <x v="2"/>
    <s v="Nurse Lisa"/>
    <x v="0"/>
    <n v="8"/>
    <s v="Extended"/>
  </r>
  <r>
    <x v="693"/>
    <x v="688"/>
    <n v="37"/>
    <x v="1"/>
    <d v="2024-11-12T00:00:00"/>
    <d v="2024-11-19T00:00:00"/>
    <x v="6"/>
    <x v="8"/>
    <n v="9927"/>
    <x v="1"/>
    <x v="2"/>
    <s v="Nurse Rita"/>
    <x v="2"/>
    <n v="7"/>
    <s v="Extended"/>
  </r>
  <r>
    <x v="694"/>
    <x v="689"/>
    <n v="29"/>
    <x v="0"/>
    <d v="2025-01-30T00:00:00"/>
    <d v="2025-02-09T00:00:00"/>
    <x v="0"/>
    <x v="1"/>
    <n v="7675"/>
    <x v="1"/>
    <x v="4"/>
    <s v="Nurse Rita"/>
    <x v="0"/>
    <n v="10"/>
    <s v="Extended"/>
  </r>
  <r>
    <x v="695"/>
    <x v="690"/>
    <n v="29"/>
    <x v="0"/>
    <d v="2025-04-04T00:00:00"/>
    <d v="2025-04-06T00:00:00"/>
    <x v="3"/>
    <x v="6"/>
    <n v="5670"/>
    <x v="0"/>
    <x v="1"/>
    <s v="Nurse Allen"/>
    <x v="2"/>
    <n v="2"/>
    <s v="Normal"/>
  </r>
  <r>
    <x v="696"/>
    <x v="691"/>
    <n v="70"/>
    <x v="1"/>
    <d v="2024-11-20T00:00:00"/>
    <d v="2024-11-22T00:00:00"/>
    <x v="0"/>
    <x v="7"/>
    <n v="3705"/>
    <x v="1"/>
    <x v="4"/>
    <s v="Nurse Lisa"/>
    <x v="0"/>
    <n v="2"/>
    <s v="Normal"/>
  </r>
  <r>
    <x v="697"/>
    <x v="692"/>
    <n v="6"/>
    <x v="0"/>
    <d v="2024-12-09T00:00:00"/>
    <d v="2024-12-12T00:00:00"/>
    <x v="2"/>
    <x v="2"/>
    <n v="3472"/>
    <x v="1"/>
    <x v="6"/>
    <s v="Nurse Rita"/>
    <x v="2"/>
    <n v="3"/>
    <s v="Normal"/>
  </r>
  <r>
    <x v="698"/>
    <x v="693"/>
    <n v="65"/>
    <x v="1"/>
    <d v="2024-10-06T00:00:00"/>
    <d v="2024-10-08T00:00:00"/>
    <x v="4"/>
    <x v="9"/>
    <n v="6926"/>
    <x v="1"/>
    <x v="6"/>
    <s v="Nurse John"/>
    <x v="2"/>
    <n v="2"/>
    <s v="Normal"/>
  </r>
  <r>
    <x v="699"/>
    <x v="694"/>
    <n v="57"/>
    <x v="0"/>
    <d v="2024-12-10T00:00:00"/>
    <d v="2024-12-18T00:00:00"/>
    <x v="5"/>
    <x v="2"/>
    <n v="8469"/>
    <x v="0"/>
    <x v="6"/>
    <s v="Nurse Kelly"/>
    <x v="0"/>
    <n v="8"/>
    <s v="Extended"/>
  </r>
  <r>
    <x v="700"/>
    <x v="695"/>
    <n v="11"/>
    <x v="0"/>
    <d v="2024-11-18T00:00:00"/>
    <d v="2024-11-28T00:00:00"/>
    <x v="5"/>
    <x v="9"/>
    <n v="7578"/>
    <x v="0"/>
    <x v="4"/>
    <s v="Nurse Allen"/>
    <x v="0"/>
    <n v="10"/>
    <s v="Extended"/>
  </r>
  <r>
    <x v="701"/>
    <x v="696"/>
    <n v="31"/>
    <x v="0"/>
    <d v="2025-03-16T00:00:00"/>
    <d v="2025-03-19T00:00:00"/>
    <x v="3"/>
    <x v="2"/>
    <n v="6005"/>
    <x v="1"/>
    <x v="5"/>
    <s v="Nurse Allen"/>
    <x v="0"/>
    <n v="3"/>
    <s v="Normal"/>
  </r>
  <r>
    <x v="702"/>
    <x v="697"/>
    <n v="89"/>
    <x v="1"/>
    <d v="2025-05-26T00:00:00"/>
    <d v="2025-05-27T00:00:00"/>
    <x v="4"/>
    <x v="5"/>
    <n v="8379"/>
    <x v="0"/>
    <x v="1"/>
    <s v="Nurse Lisa"/>
    <x v="1"/>
    <n v="1"/>
    <s v="Normal"/>
  </r>
  <r>
    <x v="703"/>
    <x v="698"/>
    <n v="81"/>
    <x v="1"/>
    <d v="2025-04-26T00:00:00"/>
    <d v="2025-05-02T00:00:00"/>
    <x v="2"/>
    <x v="4"/>
    <n v="8334"/>
    <x v="0"/>
    <x v="1"/>
    <s v="Nurse Rita"/>
    <x v="0"/>
    <n v="6"/>
    <s v="Extended"/>
  </r>
  <r>
    <x v="704"/>
    <x v="699"/>
    <n v="55"/>
    <x v="0"/>
    <d v="2025-05-19T00:00:00"/>
    <d v="2025-06-01T00:00:00"/>
    <x v="3"/>
    <x v="4"/>
    <n v="9795"/>
    <x v="1"/>
    <x v="6"/>
    <s v="Nurse Allen"/>
    <x v="1"/>
    <n v="13"/>
    <s v="Extended"/>
  </r>
  <r>
    <x v="705"/>
    <x v="700"/>
    <n v="46"/>
    <x v="1"/>
    <d v="2024-10-29T00:00:00"/>
    <d v="2024-11-11T00:00:00"/>
    <x v="2"/>
    <x v="2"/>
    <n v="6446"/>
    <x v="0"/>
    <x v="6"/>
    <s v="Nurse Mia"/>
    <x v="1"/>
    <n v="13"/>
    <s v="Extended"/>
  </r>
  <r>
    <x v="706"/>
    <x v="701"/>
    <n v="89"/>
    <x v="1"/>
    <d v="2025-03-16T00:00:00"/>
    <d v="2025-03-30T00:00:00"/>
    <x v="1"/>
    <x v="4"/>
    <n v="9479"/>
    <x v="1"/>
    <x v="5"/>
    <s v="Nurse Rita"/>
    <x v="0"/>
    <n v="14"/>
    <s v="Extended"/>
  </r>
  <r>
    <x v="707"/>
    <x v="702"/>
    <n v="77"/>
    <x v="0"/>
    <d v="2025-03-12T00:00:00"/>
    <d v="2025-03-13T00:00:00"/>
    <x v="6"/>
    <x v="8"/>
    <n v="4713"/>
    <x v="0"/>
    <x v="2"/>
    <s v="Nurse Lisa"/>
    <x v="0"/>
    <n v="1"/>
    <s v="Normal"/>
  </r>
  <r>
    <x v="708"/>
    <x v="703"/>
    <n v="36"/>
    <x v="1"/>
    <d v="2025-01-25T00:00:00"/>
    <d v="2025-02-05T00:00:00"/>
    <x v="6"/>
    <x v="3"/>
    <n v="1995"/>
    <x v="0"/>
    <x v="5"/>
    <s v="Nurse Kelly"/>
    <x v="2"/>
    <n v="11"/>
    <s v="Extended"/>
  </r>
  <r>
    <x v="709"/>
    <x v="704"/>
    <n v="33"/>
    <x v="1"/>
    <d v="2025-03-28T00:00:00"/>
    <d v="2025-04-08T00:00:00"/>
    <x v="6"/>
    <x v="1"/>
    <n v="3348"/>
    <x v="0"/>
    <x v="6"/>
    <s v="Nurse John"/>
    <x v="2"/>
    <n v="11"/>
    <s v="Extended"/>
  </r>
  <r>
    <x v="710"/>
    <x v="705"/>
    <n v="81"/>
    <x v="1"/>
    <d v="2024-11-15T00:00:00"/>
    <d v="2024-11-20T00:00:00"/>
    <x v="2"/>
    <x v="2"/>
    <n v="5160"/>
    <x v="1"/>
    <x v="3"/>
    <s v="Nurse Rita"/>
    <x v="2"/>
    <n v="5"/>
    <s v="Extended"/>
  </r>
  <r>
    <x v="711"/>
    <x v="706"/>
    <n v="58"/>
    <x v="0"/>
    <d v="2024-10-20T00:00:00"/>
    <d v="2024-10-29T00:00:00"/>
    <x v="4"/>
    <x v="0"/>
    <n v="8536"/>
    <x v="1"/>
    <x v="5"/>
    <s v="Nurse Allen"/>
    <x v="0"/>
    <n v="9"/>
    <s v="Extended"/>
  </r>
  <r>
    <x v="712"/>
    <x v="707"/>
    <n v="80"/>
    <x v="0"/>
    <d v="2024-10-18T00:00:00"/>
    <d v="2024-10-23T00:00:00"/>
    <x v="5"/>
    <x v="2"/>
    <n v="4312"/>
    <x v="1"/>
    <x v="3"/>
    <s v="Nurse Lisa"/>
    <x v="1"/>
    <n v="5"/>
    <s v="Extended"/>
  </r>
  <r>
    <x v="713"/>
    <x v="708"/>
    <n v="25"/>
    <x v="0"/>
    <d v="2024-12-01T00:00:00"/>
    <d v="2024-12-08T00:00:00"/>
    <x v="6"/>
    <x v="7"/>
    <n v="9501"/>
    <x v="1"/>
    <x v="4"/>
    <s v="Nurse Allen"/>
    <x v="1"/>
    <n v="7"/>
    <s v="Extended"/>
  </r>
  <r>
    <x v="714"/>
    <x v="709"/>
    <n v="41"/>
    <x v="1"/>
    <d v="2024-07-23T00:00:00"/>
    <d v="2024-08-04T00:00:00"/>
    <x v="3"/>
    <x v="8"/>
    <n v="8788"/>
    <x v="0"/>
    <x v="4"/>
    <s v="Nurse Mia"/>
    <x v="0"/>
    <n v="12"/>
    <s v="Extended"/>
  </r>
  <r>
    <x v="715"/>
    <x v="710"/>
    <n v="88"/>
    <x v="0"/>
    <d v="2024-11-20T00:00:00"/>
    <d v="2024-12-02T00:00:00"/>
    <x v="5"/>
    <x v="4"/>
    <n v="2126"/>
    <x v="1"/>
    <x v="5"/>
    <s v="Nurse Rita"/>
    <x v="2"/>
    <n v="12"/>
    <s v="Extended"/>
  </r>
  <r>
    <x v="716"/>
    <x v="711"/>
    <n v="29"/>
    <x v="1"/>
    <d v="2024-12-18T00:00:00"/>
    <d v="2024-12-27T00:00:00"/>
    <x v="4"/>
    <x v="4"/>
    <n v="7556"/>
    <x v="1"/>
    <x v="2"/>
    <s v="Nurse Mia"/>
    <x v="0"/>
    <n v="9"/>
    <s v="Extended"/>
  </r>
  <r>
    <x v="717"/>
    <x v="712"/>
    <n v="77"/>
    <x v="1"/>
    <d v="2025-04-23T00:00:00"/>
    <d v="2025-05-04T00:00:00"/>
    <x v="3"/>
    <x v="5"/>
    <n v="6425"/>
    <x v="1"/>
    <x v="1"/>
    <s v="Nurse Kelly"/>
    <x v="2"/>
    <n v="11"/>
    <s v="Extended"/>
  </r>
  <r>
    <x v="718"/>
    <x v="713"/>
    <n v="69"/>
    <x v="0"/>
    <d v="2025-04-20T00:00:00"/>
    <d v="2025-04-22T00:00:00"/>
    <x v="3"/>
    <x v="3"/>
    <n v="4132"/>
    <x v="1"/>
    <x v="6"/>
    <s v="Nurse Allen"/>
    <x v="1"/>
    <n v="2"/>
    <s v="Normal"/>
  </r>
  <r>
    <x v="719"/>
    <x v="714"/>
    <n v="42"/>
    <x v="1"/>
    <d v="2025-01-26T00:00:00"/>
    <d v="2025-02-06T00:00:00"/>
    <x v="3"/>
    <x v="5"/>
    <n v="1839"/>
    <x v="0"/>
    <x v="3"/>
    <s v="Nurse Allen"/>
    <x v="1"/>
    <n v="11"/>
    <s v="Extended"/>
  </r>
  <r>
    <x v="720"/>
    <x v="715"/>
    <n v="8"/>
    <x v="0"/>
    <d v="2025-05-22T00:00:00"/>
    <d v="2025-05-25T00:00:00"/>
    <x v="5"/>
    <x v="9"/>
    <n v="4229"/>
    <x v="1"/>
    <x v="2"/>
    <s v="Nurse Lisa"/>
    <x v="1"/>
    <n v="3"/>
    <s v="Normal"/>
  </r>
  <r>
    <x v="721"/>
    <x v="716"/>
    <n v="59"/>
    <x v="0"/>
    <d v="2025-01-13T00:00:00"/>
    <d v="2025-01-16T00:00:00"/>
    <x v="5"/>
    <x v="1"/>
    <n v="8001"/>
    <x v="1"/>
    <x v="1"/>
    <s v="Nurse John"/>
    <x v="2"/>
    <n v="3"/>
    <s v="Normal"/>
  </r>
  <r>
    <x v="722"/>
    <x v="717"/>
    <n v="23"/>
    <x v="0"/>
    <d v="2025-01-14T00:00:00"/>
    <d v="2025-01-20T00:00:00"/>
    <x v="5"/>
    <x v="1"/>
    <n v="3929"/>
    <x v="1"/>
    <x v="4"/>
    <s v="Nurse John"/>
    <x v="1"/>
    <n v="6"/>
    <s v="Extended"/>
  </r>
  <r>
    <x v="723"/>
    <x v="718"/>
    <n v="60"/>
    <x v="0"/>
    <d v="2024-08-20T00:00:00"/>
    <d v="2024-09-02T00:00:00"/>
    <x v="4"/>
    <x v="1"/>
    <n v="6958"/>
    <x v="0"/>
    <x v="4"/>
    <s v="Nurse Mia"/>
    <x v="1"/>
    <n v="13"/>
    <s v="Extended"/>
  </r>
  <r>
    <x v="724"/>
    <x v="719"/>
    <n v="71"/>
    <x v="1"/>
    <d v="2025-02-26T00:00:00"/>
    <d v="2025-03-09T00:00:00"/>
    <x v="3"/>
    <x v="5"/>
    <n v="1525"/>
    <x v="0"/>
    <x v="4"/>
    <s v="Nurse Allen"/>
    <x v="2"/>
    <n v="11"/>
    <s v="Extended"/>
  </r>
  <r>
    <x v="725"/>
    <x v="720"/>
    <n v="84"/>
    <x v="1"/>
    <d v="2024-07-23T00:00:00"/>
    <d v="2024-08-05T00:00:00"/>
    <x v="5"/>
    <x v="4"/>
    <n v="2195"/>
    <x v="1"/>
    <x v="0"/>
    <s v="Nurse John"/>
    <x v="0"/>
    <n v="13"/>
    <s v="Extended"/>
  </r>
  <r>
    <x v="726"/>
    <x v="721"/>
    <n v="66"/>
    <x v="0"/>
    <d v="2025-05-12T00:00:00"/>
    <d v="2025-05-21T00:00:00"/>
    <x v="3"/>
    <x v="8"/>
    <n v="7449"/>
    <x v="0"/>
    <x v="2"/>
    <s v="Nurse Kelly"/>
    <x v="1"/>
    <n v="9"/>
    <s v="Extended"/>
  </r>
  <r>
    <x v="727"/>
    <x v="722"/>
    <n v="34"/>
    <x v="1"/>
    <d v="2024-11-28T00:00:00"/>
    <d v="2024-12-03T00:00:00"/>
    <x v="3"/>
    <x v="8"/>
    <n v="2827"/>
    <x v="0"/>
    <x v="1"/>
    <s v="Nurse Mia"/>
    <x v="2"/>
    <n v="5"/>
    <s v="Extended"/>
  </r>
  <r>
    <x v="728"/>
    <x v="723"/>
    <n v="59"/>
    <x v="0"/>
    <d v="2024-07-19T00:00:00"/>
    <d v="2024-07-25T00:00:00"/>
    <x v="3"/>
    <x v="3"/>
    <n v="9646"/>
    <x v="0"/>
    <x v="2"/>
    <s v="Nurse John"/>
    <x v="0"/>
    <n v="6"/>
    <s v="Extended"/>
  </r>
  <r>
    <x v="729"/>
    <x v="724"/>
    <n v="84"/>
    <x v="1"/>
    <d v="2025-04-23T00:00:00"/>
    <d v="2025-05-01T00:00:00"/>
    <x v="3"/>
    <x v="6"/>
    <n v="3127"/>
    <x v="0"/>
    <x v="4"/>
    <s v="Nurse Zoe"/>
    <x v="2"/>
    <n v="8"/>
    <s v="Extended"/>
  </r>
  <r>
    <x v="730"/>
    <x v="517"/>
    <n v="55"/>
    <x v="0"/>
    <d v="2024-06-12T00:00:00"/>
    <d v="2024-06-18T00:00:00"/>
    <x v="5"/>
    <x v="6"/>
    <n v="3553"/>
    <x v="0"/>
    <x v="1"/>
    <s v="Nurse Zoe"/>
    <x v="0"/>
    <n v="6"/>
    <s v="Extended"/>
  </r>
  <r>
    <x v="731"/>
    <x v="725"/>
    <n v="75"/>
    <x v="0"/>
    <d v="2024-12-05T00:00:00"/>
    <d v="2024-12-11T00:00:00"/>
    <x v="0"/>
    <x v="8"/>
    <n v="9995"/>
    <x v="0"/>
    <x v="0"/>
    <s v="Nurse Rita"/>
    <x v="1"/>
    <n v="6"/>
    <s v="Extended"/>
  </r>
  <r>
    <x v="732"/>
    <x v="726"/>
    <n v="84"/>
    <x v="0"/>
    <d v="2025-05-24T00:00:00"/>
    <d v="2025-05-31T00:00:00"/>
    <x v="0"/>
    <x v="1"/>
    <n v="4350"/>
    <x v="1"/>
    <x v="4"/>
    <s v="Nurse Allen"/>
    <x v="1"/>
    <n v="7"/>
    <s v="Extended"/>
  </r>
  <r>
    <x v="733"/>
    <x v="727"/>
    <n v="4"/>
    <x v="1"/>
    <d v="2024-10-07T00:00:00"/>
    <d v="2024-10-17T00:00:00"/>
    <x v="4"/>
    <x v="9"/>
    <n v="2513"/>
    <x v="1"/>
    <x v="1"/>
    <s v="Nurse Lisa"/>
    <x v="1"/>
    <n v="10"/>
    <s v="Extended"/>
  </r>
  <r>
    <x v="734"/>
    <x v="728"/>
    <n v="36"/>
    <x v="1"/>
    <d v="2025-01-29T00:00:00"/>
    <d v="2025-02-06T00:00:00"/>
    <x v="6"/>
    <x v="2"/>
    <n v="6688"/>
    <x v="1"/>
    <x v="0"/>
    <s v="Nurse Rita"/>
    <x v="0"/>
    <n v="8"/>
    <s v="Extended"/>
  </r>
  <r>
    <x v="735"/>
    <x v="729"/>
    <n v="35"/>
    <x v="1"/>
    <d v="2024-06-21T00:00:00"/>
    <d v="2024-06-28T00:00:00"/>
    <x v="3"/>
    <x v="5"/>
    <n v="8804"/>
    <x v="0"/>
    <x v="4"/>
    <s v="Nurse Allen"/>
    <x v="0"/>
    <n v="7"/>
    <s v="Extended"/>
  </r>
  <r>
    <x v="736"/>
    <x v="730"/>
    <n v="74"/>
    <x v="0"/>
    <d v="2024-12-03T00:00:00"/>
    <d v="2024-12-16T00:00:00"/>
    <x v="3"/>
    <x v="0"/>
    <n v="8222"/>
    <x v="0"/>
    <x v="4"/>
    <s v="Nurse Rita"/>
    <x v="2"/>
    <n v="13"/>
    <s v="Extended"/>
  </r>
  <r>
    <x v="737"/>
    <x v="731"/>
    <n v="11"/>
    <x v="0"/>
    <d v="2024-09-26T00:00:00"/>
    <d v="2024-10-03T00:00:00"/>
    <x v="5"/>
    <x v="1"/>
    <n v="3372"/>
    <x v="1"/>
    <x v="5"/>
    <s v="Nurse Lisa"/>
    <x v="0"/>
    <n v="7"/>
    <s v="Extended"/>
  </r>
  <r>
    <x v="738"/>
    <x v="732"/>
    <n v="73"/>
    <x v="0"/>
    <d v="2025-01-10T00:00:00"/>
    <d v="2025-01-15T00:00:00"/>
    <x v="3"/>
    <x v="8"/>
    <n v="6931"/>
    <x v="0"/>
    <x v="5"/>
    <s v="Nurse John"/>
    <x v="2"/>
    <n v="5"/>
    <s v="Extended"/>
  </r>
  <r>
    <x v="739"/>
    <x v="733"/>
    <n v="88"/>
    <x v="1"/>
    <d v="2025-03-28T00:00:00"/>
    <d v="2025-04-10T00:00:00"/>
    <x v="6"/>
    <x v="8"/>
    <n v="3539"/>
    <x v="0"/>
    <x v="5"/>
    <s v="Nurse Kelly"/>
    <x v="2"/>
    <n v="13"/>
    <s v="Extended"/>
  </r>
  <r>
    <x v="740"/>
    <x v="734"/>
    <n v="51"/>
    <x v="1"/>
    <d v="2025-03-21T00:00:00"/>
    <d v="2025-03-26T00:00:00"/>
    <x v="5"/>
    <x v="4"/>
    <n v="6211"/>
    <x v="1"/>
    <x v="5"/>
    <s v="Nurse Allen"/>
    <x v="2"/>
    <n v="5"/>
    <s v="Extended"/>
  </r>
  <r>
    <x v="741"/>
    <x v="735"/>
    <n v="24"/>
    <x v="1"/>
    <d v="2025-04-17T00:00:00"/>
    <d v="2025-04-18T00:00:00"/>
    <x v="6"/>
    <x v="0"/>
    <n v="8976"/>
    <x v="1"/>
    <x v="1"/>
    <s v="Nurse Lisa"/>
    <x v="0"/>
    <n v="1"/>
    <s v="Normal"/>
  </r>
  <r>
    <x v="742"/>
    <x v="736"/>
    <n v="49"/>
    <x v="1"/>
    <d v="2024-09-22T00:00:00"/>
    <d v="2024-09-27T00:00:00"/>
    <x v="3"/>
    <x v="9"/>
    <n v="6104"/>
    <x v="1"/>
    <x v="2"/>
    <s v="Nurse Kelly"/>
    <x v="2"/>
    <n v="5"/>
    <s v="Extended"/>
  </r>
  <r>
    <x v="743"/>
    <x v="737"/>
    <n v="13"/>
    <x v="1"/>
    <d v="2025-04-21T00:00:00"/>
    <d v="2025-04-26T00:00:00"/>
    <x v="0"/>
    <x v="6"/>
    <n v="4703"/>
    <x v="0"/>
    <x v="2"/>
    <s v="Nurse Mia"/>
    <x v="1"/>
    <n v="5"/>
    <s v="Extended"/>
  </r>
  <r>
    <x v="744"/>
    <x v="738"/>
    <n v="12"/>
    <x v="1"/>
    <d v="2025-02-26T00:00:00"/>
    <d v="2025-03-01T00:00:00"/>
    <x v="2"/>
    <x v="7"/>
    <n v="3596"/>
    <x v="0"/>
    <x v="0"/>
    <s v="Nurse Mia"/>
    <x v="1"/>
    <n v="3"/>
    <s v="Normal"/>
  </r>
  <r>
    <x v="745"/>
    <x v="739"/>
    <n v="62"/>
    <x v="1"/>
    <d v="2024-10-11T00:00:00"/>
    <d v="2024-10-23T00:00:00"/>
    <x v="1"/>
    <x v="0"/>
    <n v="8848"/>
    <x v="0"/>
    <x v="3"/>
    <s v="Nurse Zoe"/>
    <x v="1"/>
    <n v="12"/>
    <s v="Extended"/>
  </r>
  <r>
    <x v="746"/>
    <x v="740"/>
    <n v="11"/>
    <x v="1"/>
    <d v="2025-04-21T00:00:00"/>
    <d v="2025-04-25T00:00:00"/>
    <x v="3"/>
    <x v="7"/>
    <n v="3796"/>
    <x v="0"/>
    <x v="2"/>
    <s v="Nurse Zoe"/>
    <x v="1"/>
    <n v="4"/>
    <s v="Extended"/>
  </r>
  <r>
    <x v="747"/>
    <x v="741"/>
    <n v="78"/>
    <x v="1"/>
    <d v="2025-01-08T00:00:00"/>
    <d v="2025-01-10T00:00:00"/>
    <x v="1"/>
    <x v="7"/>
    <n v="3804"/>
    <x v="1"/>
    <x v="0"/>
    <s v="Nurse John"/>
    <x v="2"/>
    <n v="2"/>
    <s v="Normal"/>
  </r>
  <r>
    <x v="748"/>
    <x v="742"/>
    <n v="29"/>
    <x v="1"/>
    <d v="2024-10-20T00:00:00"/>
    <d v="2024-11-03T00:00:00"/>
    <x v="2"/>
    <x v="9"/>
    <n v="8777"/>
    <x v="0"/>
    <x v="6"/>
    <s v="Nurse John"/>
    <x v="0"/>
    <n v="14"/>
    <s v="Extended"/>
  </r>
  <r>
    <x v="749"/>
    <x v="743"/>
    <n v="16"/>
    <x v="1"/>
    <d v="2025-02-21T00:00:00"/>
    <d v="2025-02-27T00:00:00"/>
    <x v="5"/>
    <x v="3"/>
    <n v="2030"/>
    <x v="0"/>
    <x v="3"/>
    <s v="Nurse Zoe"/>
    <x v="0"/>
    <n v="6"/>
    <s v="Extended"/>
  </r>
  <r>
    <x v="750"/>
    <x v="744"/>
    <n v="20"/>
    <x v="1"/>
    <d v="2025-05-03T00:00:00"/>
    <d v="2025-05-07T00:00:00"/>
    <x v="5"/>
    <x v="6"/>
    <n v="3118"/>
    <x v="0"/>
    <x v="1"/>
    <s v="Nurse Allen"/>
    <x v="0"/>
    <n v="4"/>
    <s v="Extended"/>
  </r>
  <r>
    <x v="751"/>
    <x v="745"/>
    <n v="21"/>
    <x v="1"/>
    <d v="2024-09-11T00:00:00"/>
    <d v="2024-09-23T00:00:00"/>
    <x v="0"/>
    <x v="6"/>
    <n v="9548"/>
    <x v="0"/>
    <x v="6"/>
    <s v="Nurse Allen"/>
    <x v="2"/>
    <n v="12"/>
    <s v="Extended"/>
  </r>
  <r>
    <x v="752"/>
    <x v="746"/>
    <n v="18"/>
    <x v="1"/>
    <d v="2024-10-18T00:00:00"/>
    <d v="2024-10-20T00:00:00"/>
    <x v="2"/>
    <x v="0"/>
    <n v="4757"/>
    <x v="0"/>
    <x v="4"/>
    <s v="Nurse Zoe"/>
    <x v="2"/>
    <n v="2"/>
    <s v="Normal"/>
  </r>
  <r>
    <x v="753"/>
    <x v="747"/>
    <n v="69"/>
    <x v="1"/>
    <d v="2024-12-08T00:00:00"/>
    <d v="2024-12-19T00:00:00"/>
    <x v="0"/>
    <x v="5"/>
    <n v="4042"/>
    <x v="1"/>
    <x v="0"/>
    <s v="Nurse Allen"/>
    <x v="2"/>
    <n v="11"/>
    <s v="Extended"/>
  </r>
  <r>
    <x v="754"/>
    <x v="748"/>
    <n v="51"/>
    <x v="0"/>
    <d v="2024-06-15T00:00:00"/>
    <d v="2024-06-19T00:00:00"/>
    <x v="4"/>
    <x v="2"/>
    <n v="5626"/>
    <x v="1"/>
    <x v="5"/>
    <s v="Nurse Mia"/>
    <x v="2"/>
    <n v="4"/>
    <s v="Extended"/>
  </r>
  <r>
    <x v="755"/>
    <x v="749"/>
    <n v="49"/>
    <x v="0"/>
    <d v="2025-04-12T00:00:00"/>
    <d v="2025-04-15T00:00:00"/>
    <x v="6"/>
    <x v="7"/>
    <n v="6685"/>
    <x v="0"/>
    <x v="2"/>
    <s v="Nurse Zoe"/>
    <x v="1"/>
    <n v="3"/>
    <s v="Normal"/>
  </r>
  <r>
    <x v="756"/>
    <x v="750"/>
    <n v="11"/>
    <x v="1"/>
    <d v="2024-10-31T00:00:00"/>
    <d v="2024-11-03T00:00:00"/>
    <x v="5"/>
    <x v="4"/>
    <n v="7833"/>
    <x v="1"/>
    <x v="2"/>
    <s v="Nurse John"/>
    <x v="1"/>
    <n v="3"/>
    <s v="Normal"/>
  </r>
  <r>
    <x v="757"/>
    <x v="751"/>
    <n v="33"/>
    <x v="1"/>
    <d v="2024-06-23T00:00:00"/>
    <d v="2024-07-05T00:00:00"/>
    <x v="0"/>
    <x v="5"/>
    <n v="9915"/>
    <x v="1"/>
    <x v="5"/>
    <s v="Nurse Allen"/>
    <x v="0"/>
    <n v="12"/>
    <s v="Extended"/>
  </r>
  <r>
    <x v="758"/>
    <x v="752"/>
    <n v="85"/>
    <x v="0"/>
    <d v="2024-08-13T00:00:00"/>
    <d v="2024-08-23T00:00:00"/>
    <x v="0"/>
    <x v="2"/>
    <n v="6158"/>
    <x v="0"/>
    <x v="5"/>
    <s v="Nurse Allen"/>
    <x v="1"/>
    <n v="10"/>
    <s v="Extended"/>
  </r>
  <r>
    <x v="759"/>
    <x v="753"/>
    <n v="52"/>
    <x v="1"/>
    <d v="2024-06-14T00:00:00"/>
    <d v="2024-06-18T00:00:00"/>
    <x v="4"/>
    <x v="1"/>
    <n v="7408"/>
    <x v="1"/>
    <x v="6"/>
    <s v="Nurse Kelly"/>
    <x v="1"/>
    <n v="4"/>
    <s v="Extended"/>
  </r>
  <r>
    <x v="760"/>
    <x v="754"/>
    <n v="49"/>
    <x v="1"/>
    <d v="2024-10-25T00:00:00"/>
    <d v="2024-11-05T00:00:00"/>
    <x v="6"/>
    <x v="4"/>
    <n v="4741"/>
    <x v="0"/>
    <x v="0"/>
    <s v="Nurse Mia"/>
    <x v="1"/>
    <n v="11"/>
    <s v="Extended"/>
  </r>
  <r>
    <x v="761"/>
    <x v="755"/>
    <n v="77"/>
    <x v="0"/>
    <d v="2025-04-22T00:00:00"/>
    <d v="2025-05-05T00:00:00"/>
    <x v="1"/>
    <x v="8"/>
    <n v="5462"/>
    <x v="0"/>
    <x v="2"/>
    <s v="Nurse Lisa"/>
    <x v="1"/>
    <n v="13"/>
    <s v="Extended"/>
  </r>
  <r>
    <x v="762"/>
    <x v="756"/>
    <n v="31"/>
    <x v="0"/>
    <d v="2024-11-26T00:00:00"/>
    <d v="2024-12-08T00:00:00"/>
    <x v="2"/>
    <x v="6"/>
    <n v="8267"/>
    <x v="1"/>
    <x v="2"/>
    <s v="Nurse Allen"/>
    <x v="2"/>
    <n v="12"/>
    <s v="Extended"/>
  </r>
  <r>
    <x v="763"/>
    <x v="757"/>
    <n v="77"/>
    <x v="0"/>
    <d v="2025-03-15T00:00:00"/>
    <d v="2025-03-16T00:00:00"/>
    <x v="2"/>
    <x v="5"/>
    <n v="6491"/>
    <x v="0"/>
    <x v="2"/>
    <s v="Nurse Zoe"/>
    <x v="1"/>
    <n v="1"/>
    <s v="Normal"/>
  </r>
  <r>
    <x v="764"/>
    <x v="758"/>
    <n v="44"/>
    <x v="0"/>
    <d v="2024-06-02T00:00:00"/>
    <d v="2024-06-15T00:00:00"/>
    <x v="3"/>
    <x v="0"/>
    <n v="1170"/>
    <x v="1"/>
    <x v="5"/>
    <s v="Nurse Zoe"/>
    <x v="1"/>
    <n v="13"/>
    <s v="Extended"/>
  </r>
  <r>
    <x v="765"/>
    <x v="759"/>
    <n v="16"/>
    <x v="0"/>
    <d v="2024-12-15T00:00:00"/>
    <d v="2024-12-17T00:00:00"/>
    <x v="0"/>
    <x v="8"/>
    <n v="1432"/>
    <x v="1"/>
    <x v="1"/>
    <s v="Nurse Rita"/>
    <x v="0"/>
    <n v="2"/>
    <s v="Normal"/>
  </r>
  <r>
    <x v="766"/>
    <x v="760"/>
    <n v="86"/>
    <x v="1"/>
    <d v="2025-01-24T00:00:00"/>
    <d v="2025-02-06T00:00:00"/>
    <x v="1"/>
    <x v="7"/>
    <n v="2527"/>
    <x v="0"/>
    <x v="4"/>
    <s v="Nurse Rita"/>
    <x v="0"/>
    <n v="13"/>
    <s v="Extended"/>
  </r>
  <r>
    <x v="767"/>
    <x v="761"/>
    <n v="89"/>
    <x v="0"/>
    <d v="2024-06-21T00:00:00"/>
    <d v="2024-06-29T00:00:00"/>
    <x v="3"/>
    <x v="1"/>
    <n v="3621"/>
    <x v="0"/>
    <x v="3"/>
    <s v="Nurse John"/>
    <x v="2"/>
    <n v="8"/>
    <s v="Extended"/>
  </r>
  <r>
    <x v="768"/>
    <x v="762"/>
    <n v="27"/>
    <x v="0"/>
    <d v="2025-02-01T00:00:00"/>
    <d v="2025-02-02T00:00:00"/>
    <x v="4"/>
    <x v="8"/>
    <n v="8510"/>
    <x v="0"/>
    <x v="6"/>
    <s v="Nurse Kelly"/>
    <x v="0"/>
    <n v="1"/>
    <s v="Normal"/>
  </r>
  <r>
    <x v="769"/>
    <x v="763"/>
    <n v="13"/>
    <x v="1"/>
    <d v="2024-08-21T00:00:00"/>
    <d v="2024-08-24T00:00:00"/>
    <x v="3"/>
    <x v="2"/>
    <n v="3530"/>
    <x v="0"/>
    <x v="1"/>
    <s v="Nurse Mia"/>
    <x v="0"/>
    <n v="3"/>
    <s v="Normal"/>
  </r>
  <r>
    <x v="770"/>
    <x v="764"/>
    <n v="43"/>
    <x v="1"/>
    <d v="2024-05-30T00:00:00"/>
    <d v="2024-06-10T00:00:00"/>
    <x v="1"/>
    <x v="5"/>
    <n v="3287"/>
    <x v="0"/>
    <x v="2"/>
    <s v="Nurse John"/>
    <x v="2"/>
    <n v="11"/>
    <s v="Extended"/>
  </r>
  <r>
    <x v="771"/>
    <x v="765"/>
    <n v="31"/>
    <x v="0"/>
    <d v="2024-09-12T00:00:00"/>
    <d v="2024-09-23T00:00:00"/>
    <x v="0"/>
    <x v="4"/>
    <n v="5663"/>
    <x v="1"/>
    <x v="0"/>
    <s v="Nurse John"/>
    <x v="0"/>
    <n v="11"/>
    <s v="Extended"/>
  </r>
  <r>
    <x v="772"/>
    <x v="766"/>
    <n v="30"/>
    <x v="0"/>
    <d v="2024-07-21T00:00:00"/>
    <d v="2024-07-26T00:00:00"/>
    <x v="4"/>
    <x v="3"/>
    <n v="8205"/>
    <x v="0"/>
    <x v="0"/>
    <s v="Nurse Allen"/>
    <x v="1"/>
    <n v="5"/>
    <s v="Extended"/>
  </r>
  <r>
    <x v="773"/>
    <x v="767"/>
    <n v="53"/>
    <x v="0"/>
    <d v="2025-03-23T00:00:00"/>
    <d v="2025-03-28T00:00:00"/>
    <x v="1"/>
    <x v="4"/>
    <n v="4893"/>
    <x v="1"/>
    <x v="3"/>
    <s v="Nurse Rita"/>
    <x v="1"/>
    <n v="5"/>
    <s v="Extended"/>
  </r>
  <r>
    <x v="774"/>
    <x v="768"/>
    <n v="67"/>
    <x v="0"/>
    <d v="2025-04-11T00:00:00"/>
    <d v="2025-04-15T00:00:00"/>
    <x v="5"/>
    <x v="2"/>
    <n v="7294"/>
    <x v="0"/>
    <x v="2"/>
    <s v="Nurse John"/>
    <x v="2"/>
    <n v="4"/>
    <s v="Extended"/>
  </r>
  <r>
    <x v="775"/>
    <x v="769"/>
    <n v="1"/>
    <x v="1"/>
    <d v="2024-10-25T00:00:00"/>
    <d v="2024-11-05T00:00:00"/>
    <x v="2"/>
    <x v="6"/>
    <n v="1711"/>
    <x v="1"/>
    <x v="3"/>
    <s v="Nurse Mia"/>
    <x v="1"/>
    <n v="11"/>
    <s v="Extended"/>
  </r>
  <r>
    <x v="776"/>
    <x v="770"/>
    <n v="35"/>
    <x v="0"/>
    <d v="2024-09-23T00:00:00"/>
    <d v="2024-09-30T00:00:00"/>
    <x v="6"/>
    <x v="8"/>
    <n v="9096"/>
    <x v="0"/>
    <x v="1"/>
    <s v="Nurse Kelly"/>
    <x v="0"/>
    <n v="7"/>
    <s v="Extended"/>
  </r>
  <r>
    <x v="777"/>
    <x v="771"/>
    <n v="48"/>
    <x v="0"/>
    <d v="2024-05-29T00:00:00"/>
    <d v="2024-06-07T00:00:00"/>
    <x v="4"/>
    <x v="5"/>
    <n v="1121"/>
    <x v="1"/>
    <x v="4"/>
    <s v="Nurse John"/>
    <x v="1"/>
    <n v="9"/>
    <s v="Extended"/>
  </r>
  <r>
    <x v="778"/>
    <x v="772"/>
    <n v="38"/>
    <x v="0"/>
    <d v="2024-06-10T00:00:00"/>
    <d v="2024-06-12T00:00:00"/>
    <x v="5"/>
    <x v="5"/>
    <n v="6409"/>
    <x v="1"/>
    <x v="4"/>
    <s v="Nurse Zoe"/>
    <x v="2"/>
    <n v="2"/>
    <s v="Normal"/>
  </r>
  <r>
    <x v="779"/>
    <x v="773"/>
    <n v="38"/>
    <x v="0"/>
    <d v="2024-08-22T00:00:00"/>
    <d v="2024-08-29T00:00:00"/>
    <x v="1"/>
    <x v="7"/>
    <n v="3731"/>
    <x v="1"/>
    <x v="1"/>
    <s v="Nurse Rita"/>
    <x v="2"/>
    <n v="7"/>
    <s v="Extended"/>
  </r>
  <r>
    <x v="780"/>
    <x v="774"/>
    <n v="36"/>
    <x v="0"/>
    <d v="2025-02-15T00:00:00"/>
    <d v="2025-02-24T00:00:00"/>
    <x v="2"/>
    <x v="1"/>
    <n v="1503"/>
    <x v="1"/>
    <x v="3"/>
    <s v="Nurse Rita"/>
    <x v="2"/>
    <n v="9"/>
    <s v="Extended"/>
  </r>
  <r>
    <x v="781"/>
    <x v="775"/>
    <n v="2"/>
    <x v="1"/>
    <d v="2024-11-10T00:00:00"/>
    <d v="2024-11-11T00:00:00"/>
    <x v="5"/>
    <x v="3"/>
    <n v="9452"/>
    <x v="0"/>
    <x v="3"/>
    <s v="Nurse John"/>
    <x v="2"/>
    <n v="1"/>
    <s v="Normal"/>
  </r>
  <r>
    <x v="782"/>
    <x v="776"/>
    <n v="50"/>
    <x v="0"/>
    <d v="2024-09-14T00:00:00"/>
    <d v="2024-09-25T00:00:00"/>
    <x v="3"/>
    <x v="5"/>
    <n v="2868"/>
    <x v="0"/>
    <x v="3"/>
    <s v="Nurse Mia"/>
    <x v="1"/>
    <n v="11"/>
    <s v="Extended"/>
  </r>
  <r>
    <x v="783"/>
    <x v="777"/>
    <n v="2"/>
    <x v="1"/>
    <d v="2025-01-10T00:00:00"/>
    <d v="2025-01-12T00:00:00"/>
    <x v="6"/>
    <x v="7"/>
    <n v="8161"/>
    <x v="1"/>
    <x v="6"/>
    <s v="Nurse Rita"/>
    <x v="0"/>
    <n v="2"/>
    <s v="Normal"/>
  </r>
  <r>
    <x v="784"/>
    <x v="778"/>
    <n v="25"/>
    <x v="1"/>
    <d v="2024-12-22T00:00:00"/>
    <d v="2024-12-27T00:00:00"/>
    <x v="1"/>
    <x v="7"/>
    <n v="5448"/>
    <x v="1"/>
    <x v="1"/>
    <s v="Nurse Zoe"/>
    <x v="1"/>
    <n v="5"/>
    <s v="Extended"/>
  </r>
  <r>
    <x v="785"/>
    <x v="779"/>
    <n v="82"/>
    <x v="1"/>
    <d v="2024-08-28T00:00:00"/>
    <d v="2024-08-29T00:00:00"/>
    <x v="3"/>
    <x v="7"/>
    <n v="9687"/>
    <x v="1"/>
    <x v="6"/>
    <s v="Nurse Rita"/>
    <x v="1"/>
    <n v="1"/>
    <s v="Normal"/>
  </r>
  <r>
    <x v="786"/>
    <x v="780"/>
    <n v="83"/>
    <x v="1"/>
    <d v="2025-04-05T00:00:00"/>
    <d v="2025-04-12T00:00:00"/>
    <x v="5"/>
    <x v="2"/>
    <n v="2536"/>
    <x v="0"/>
    <x v="5"/>
    <s v="Nurse Zoe"/>
    <x v="1"/>
    <n v="7"/>
    <s v="Extended"/>
  </r>
  <r>
    <x v="787"/>
    <x v="781"/>
    <n v="65"/>
    <x v="1"/>
    <d v="2024-09-15T00:00:00"/>
    <d v="2024-09-24T00:00:00"/>
    <x v="5"/>
    <x v="3"/>
    <n v="3299"/>
    <x v="1"/>
    <x v="1"/>
    <s v="Nurse Kelly"/>
    <x v="1"/>
    <n v="9"/>
    <s v="Extended"/>
  </r>
  <r>
    <x v="788"/>
    <x v="782"/>
    <n v="29"/>
    <x v="0"/>
    <d v="2025-03-06T00:00:00"/>
    <d v="2025-03-08T00:00:00"/>
    <x v="3"/>
    <x v="1"/>
    <n v="9814"/>
    <x v="0"/>
    <x v="0"/>
    <s v="Nurse Allen"/>
    <x v="0"/>
    <n v="2"/>
    <s v="Normal"/>
  </r>
  <r>
    <x v="789"/>
    <x v="783"/>
    <n v="11"/>
    <x v="0"/>
    <d v="2024-10-30T00:00:00"/>
    <d v="2024-11-04T00:00:00"/>
    <x v="5"/>
    <x v="7"/>
    <n v="6682"/>
    <x v="0"/>
    <x v="0"/>
    <s v="Nurse Kelly"/>
    <x v="2"/>
    <n v="5"/>
    <s v="Extended"/>
  </r>
  <r>
    <x v="790"/>
    <x v="784"/>
    <n v="37"/>
    <x v="0"/>
    <d v="2025-04-20T00:00:00"/>
    <d v="2025-05-02T00:00:00"/>
    <x v="3"/>
    <x v="0"/>
    <n v="5817"/>
    <x v="1"/>
    <x v="4"/>
    <s v="Nurse Kelly"/>
    <x v="1"/>
    <n v="12"/>
    <s v="Extended"/>
  </r>
  <r>
    <x v="791"/>
    <x v="785"/>
    <n v="42"/>
    <x v="1"/>
    <d v="2025-04-06T00:00:00"/>
    <d v="2025-04-07T00:00:00"/>
    <x v="6"/>
    <x v="8"/>
    <n v="6517"/>
    <x v="1"/>
    <x v="5"/>
    <s v="Nurse Lisa"/>
    <x v="0"/>
    <n v="1"/>
    <s v="Normal"/>
  </r>
  <r>
    <x v="792"/>
    <x v="786"/>
    <n v="27"/>
    <x v="1"/>
    <d v="2024-12-11T00:00:00"/>
    <d v="2024-12-18T00:00:00"/>
    <x v="3"/>
    <x v="4"/>
    <n v="9697"/>
    <x v="1"/>
    <x v="6"/>
    <s v="Nurse John"/>
    <x v="0"/>
    <n v="7"/>
    <s v="Extended"/>
  </r>
  <r>
    <x v="793"/>
    <x v="787"/>
    <n v="43"/>
    <x v="0"/>
    <d v="2024-06-04T00:00:00"/>
    <d v="2024-06-17T00:00:00"/>
    <x v="1"/>
    <x v="2"/>
    <n v="6534"/>
    <x v="0"/>
    <x v="3"/>
    <s v="Nurse Zoe"/>
    <x v="1"/>
    <n v="13"/>
    <s v="Extended"/>
  </r>
  <r>
    <x v="794"/>
    <x v="788"/>
    <n v="47"/>
    <x v="0"/>
    <d v="2025-01-01T00:00:00"/>
    <d v="2025-01-06T00:00:00"/>
    <x v="2"/>
    <x v="4"/>
    <n v="2910"/>
    <x v="1"/>
    <x v="5"/>
    <s v="Nurse Mia"/>
    <x v="0"/>
    <n v="5"/>
    <s v="Extended"/>
  </r>
  <r>
    <x v="795"/>
    <x v="789"/>
    <n v="82"/>
    <x v="1"/>
    <d v="2024-10-19T00:00:00"/>
    <d v="2024-10-28T00:00:00"/>
    <x v="6"/>
    <x v="0"/>
    <n v="3902"/>
    <x v="0"/>
    <x v="2"/>
    <s v="Nurse Rita"/>
    <x v="1"/>
    <n v="9"/>
    <s v="Extended"/>
  </r>
  <r>
    <x v="796"/>
    <x v="790"/>
    <n v="29"/>
    <x v="0"/>
    <d v="2024-12-30T00:00:00"/>
    <d v="2025-01-11T00:00:00"/>
    <x v="5"/>
    <x v="9"/>
    <n v="6227"/>
    <x v="1"/>
    <x v="3"/>
    <s v="Nurse Mia"/>
    <x v="2"/>
    <n v="12"/>
    <s v="Extended"/>
  </r>
  <r>
    <x v="797"/>
    <x v="791"/>
    <n v="41"/>
    <x v="0"/>
    <d v="2024-08-27T00:00:00"/>
    <d v="2024-09-01T00:00:00"/>
    <x v="3"/>
    <x v="8"/>
    <n v="9304"/>
    <x v="1"/>
    <x v="2"/>
    <s v="Nurse Mia"/>
    <x v="1"/>
    <n v="5"/>
    <s v="Extended"/>
  </r>
  <r>
    <x v="798"/>
    <x v="792"/>
    <n v="21"/>
    <x v="0"/>
    <d v="2025-03-25T00:00:00"/>
    <d v="2025-04-05T00:00:00"/>
    <x v="0"/>
    <x v="9"/>
    <n v="2197"/>
    <x v="0"/>
    <x v="5"/>
    <s v="Nurse John"/>
    <x v="2"/>
    <n v="11"/>
    <s v="Extended"/>
  </r>
  <r>
    <x v="799"/>
    <x v="793"/>
    <n v="77"/>
    <x v="1"/>
    <d v="2024-08-11T00:00:00"/>
    <d v="2024-08-14T00:00:00"/>
    <x v="4"/>
    <x v="5"/>
    <n v="2039"/>
    <x v="1"/>
    <x v="6"/>
    <s v="Nurse John"/>
    <x v="2"/>
    <n v="3"/>
    <s v="Normal"/>
  </r>
  <r>
    <x v="800"/>
    <x v="794"/>
    <n v="46"/>
    <x v="0"/>
    <d v="2024-12-25T00:00:00"/>
    <d v="2025-01-04T00:00:00"/>
    <x v="3"/>
    <x v="2"/>
    <n v="3364"/>
    <x v="1"/>
    <x v="6"/>
    <s v="Nurse Zoe"/>
    <x v="2"/>
    <n v="10"/>
    <s v="Extended"/>
  </r>
  <r>
    <x v="801"/>
    <x v="795"/>
    <n v="81"/>
    <x v="1"/>
    <d v="2024-09-07T00:00:00"/>
    <d v="2024-09-15T00:00:00"/>
    <x v="0"/>
    <x v="1"/>
    <n v="3024"/>
    <x v="0"/>
    <x v="1"/>
    <s v="Nurse Kelly"/>
    <x v="1"/>
    <n v="8"/>
    <s v="Extended"/>
  </r>
  <r>
    <x v="802"/>
    <x v="796"/>
    <n v="45"/>
    <x v="1"/>
    <d v="2025-02-19T00:00:00"/>
    <d v="2025-02-22T00:00:00"/>
    <x v="3"/>
    <x v="5"/>
    <n v="1502"/>
    <x v="1"/>
    <x v="3"/>
    <s v="Nurse Rita"/>
    <x v="2"/>
    <n v="3"/>
    <s v="Normal"/>
  </r>
  <r>
    <x v="803"/>
    <x v="797"/>
    <n v="14"/>
    <x v="1"/>
    <d v="2024-12-20T00:00:00"/>
    <d v="2024-12-27T00:00:00"/>
    <x v="5"/>
    <x v="6"/>
    <n v="4297"/>
    <x v="1"/>
    <x v="6"/>
    <s v="Nurse Kelly"/>
    <x v="0"/>
    <n v="7"/>
    <s v="Extended"/>
  </r>
  <r>
    <x v="804"/>
    <x v="798"/>
    <n v="10"/>
    <x v="0"/>
    <d v="2025-02-28T00:00:00"/>
    <d v="2025-03-03T00:00:00"/>
    <x v="0"/>
    <x v="1"/>
    <n v="3777"/>
    <x v="0"/>
    <x v="1"/>
    <s v="Nurse Lisa"/>
    <x v="0"/>
    <n v="3"/>
    <s v="Normal"/>
  </r>
  <r>
    <x v="805"/>
    <x v="799"/>
    <n v="88"/>
    <x v="1"/>
    <d v="2024-06-18T00:00:00"/>
    <d v="2024-06-21T00:00:00"/>
    <x v="4"/>
    <x v="5"/>
    <n v="9282"/>
    <x v="0"/>
    <x v="2"/>
    <s v="Nurse Zoe"/>
    <x v="2"/>
    <n v="3"/>
    <s v="Normal"/>
  </r>
  <r>
    <x v="806"/>
    <x v="800"/>
    <n v="16"/>
    <x v="0"/>
    <d v="2025-04-10T00:00:00"/>
    <d v="2025-04-20T00:00:00"/>
    <x v="2"/>
    <x v="4"/>
    <n v="7682"/>
    <x v="1"/>
    <x v="2"/>
    <s v="Nurse Kelly"/>
    <x v="0"/>
    <n v="10"/>
    <s v="Extended"/>
  </r>
  <r>
    <x v="807"/>
    <x v="801"/>
    <n v="29"/>
    <x v="1"/>
    <d v="2025-03-01T00:00:00"/>
    <d v="2025-03-08T00:00:00"/>
    <x v="4"/>
    <x v="1"/>
    <n v="8909"/>
    <x v="0"/>
    <x v="0"/>
    <s v="Nurse Rita"/>
    <x v="0"/>
    <n v="7"/>
    <s v="Extended"/>
  </r>
  <r>
    <x v="808"/>
    <x v="802"/>
    <n v="64"/>
    <x v="0"/>
    <d v="2025-02-22T00:00:00"/>
    <d v="2025-03-02T00:00:00"/>
    <x v="2"/>
    <x v="9"/>
    <n v="7339"/>
    <x v="0"/>
    <x v="4"/>
    <s v="Nurse Mia"/>
    <x v="2"/>
    <n v="8"/>
    <s v="Extended"/>
  </r>
  <r>
    <x v="809"/>
    <x v="803"/>
    <n v="59"/>
    <x v="1"/>
    <d v="2024-10-06T00:00:00"/>
    <d v="2024-10-09T00:00:00"/>
    <x v="4"/>
    <x v="4"/>
    <n v="2391"/>
    <x v="0"/>
    <x v="5"/>
    <s v="Nurse Mia"/>
    <x v="0"/>
    <n v="3"/>
    <s v="Normal"/>
  </r>
  <r>
    <x v="810"/>
    <x v="804"/>
    <n v="14"/>
    <x v="0"/>
    <d v="2025-02-13T00:00:00"/>
    <d v="2025-02-16T00:00:00"/>
    <x v="1"/>
    <x v="8"/>
    <n v="8447"/>
    <x v="1"/>
    <x v="2"/>
    <s v="Nurse Rita"/>
    <x v="1"/>
    <n v="3"/>
    <s v="Normal"/>
  </r>
  <r>
    <x v="811"/>
    <x v="805"/>
    <n v="10"/>
    <x v="0"/>
    <d v="2025-05-09T00:00:00"/>
    <d v="2025-05-18T00:00:00"/>
    <x v="5"/>
    <x v="0"/>
    <n v="2483"/>
    <x v="1"/>
    <x v="3"/>
    <s v="Nurse Kelly"/>
    <x v="2"/>
    <n v="9"/>
    <s v="Extended"/>
  </r>
  <r>
    <x v="812"/>
    <x v="806"/>
    <n v="28"/>
    <x v="0"/>
    <d v="2025-04-20T00:00:00"/>
    <d v="2025-05-02T00:00:00"/>
    <x v="2"/>
    <x v="7"/>
    <n v="9729"/>
    <x v="0"/>
    <x v="3"/>
    <s v="Nurse Kelly"/>
    <x v="0"/>
    <n v="12"/>
    <s v="Extended"/>
  </r>
  <r>
    <x v="813"/>
    <x v="807"/>
    <n v="67"/>
    <x v="1"/>
    <d v="2024-08-25T00:00:00"/>
    <d v="2024-08-29T00:00:00"/>
    <x v="3"/>
    <x v="1"/>
    <n v="9078"/>
    <x v="1"/>
    <x v="3"/>
    <s v="Nurse Lisa"/>
    <x v="0"/>
    <n v="4"/>
    <s v="Extended"/>
  </r>
  <r>
    <x v="814"/>
    <x v="808"/>
    <n v="14"/>
    <x v="1"/>
    <d v="2024-11-30T00:00:00"/>
    <d v="2024-12-10T00:00:00"/>
    <x v="4"/>
    <x v="0"/>
    <n v="9860"/>
    <x v="1"/>
    <x v="2"/>
    <s v="Nurse Zoe"/>
    <x v="2"/>
    <n v="10"/>
    <s v="Extended"/>
  </r>
  <r>
    <x v="815"/>
    <x v="809"/>
    <n v="58"/>
    <x v="0"/>
    <d v="2025-03-29T00:00:00"/>
    <d v="2025-04-01T00:00:00"/>
    <x v="3"/>
    <x v="5"/>
    <n v="3036"/>
    <x v="0"/>
    <x v="4"/>
    <s v="Nurse Rita"/>
    <x v="1"/>
    <n v="3"/>
    <s v="Normal"/>
  </r>
  <r>
    <x v="816"/>
    <x v="810"/>
    <n v="31"/>
    <x v="0"/>
    <d v="2025-03-31T00:00:00"/>
    <d v="2025-04-13T00:00:00"/>
    <x v="2"/>
    <x v="9"/>
    <n v="4348"/>
    <x v="1"/>
    <x v="6"/>
    <s v="Nurse Rita"/>
    <x v="0"/>
    <n v="13"/>
    <s v="Extended"/>
  </r>
  <r>
    <x v="817"/>
    <x v="811"/>
    <n v="43"/>
    <x v="1"/>
    <d v="2025-04-20T00:00:00"/>
    <d v="2025-05-03T00:00:00"/>
    <x v="1"/>
    <x v="4"/>
    <n v="3873"/>
    <x v="1"/>
    <x v="2"/>
    <s v="Nurse Lisa"/>
    <x v="0"/>
    <n v="13"/>
    <s v="Extended"/>
  </r>
  <r>
    <x v="818"/>
    <x v="812"/>
    <n v="13"/>
    <x v="0"/>
    <d v="2025-03-19T00:00:00"/>
    <d v="2025-03-27T00:00:00"/>
    <x v="3"/>
    <x v="0"/>
    <n v="6839"/>
    <x v="0"/>
    <x v="2"/>
    <s v="Nurse John"/>
    <x v="2"/>
    <n v="8"/>
    <s v="Extended"/>
  </r>
  <r>
    <x v="819"/>
    <x v="813"/>
    <n v="52"/>
    <x v="0"/>
    <d v="2025-01-30T00:00:00"/>
    <d v="2025-01-31T00:00:00"/>
    <x v="3"/>
    <x v="7"/>
    <n v="8904"/>
    <x v="1"/>
    <x v="5"/>
    <s v="Nurse Mia"/>
    <x v="2"/>
    <n v="1"/>
    <s v="Normal"/>
  </r>
  <r>
    <x v="820"/>
    <x v="814"/>
    <n v="26"/>
    <x v="1"/>
    <d v="2025-01-07T00:00:00"/>
    <d v="2025-01-16T00:00:00"/>
    <x v="6"/>
    <x v="1"/>
    <n v="1284"/>
    <x v="0"/>
    <x v="1"/>
    <s v="Nurse Lisa"/>
    <x v="1"/>
    <n v="9"/>
    <s v="Extended"/>
  </r>
  <r>
    <x v="821"/>
    <x v="815"/>
    <n v="18"/>
    <x v="1"/>
    <d v="2025-05-09T00:00:00"/>
    <d v="2025-05-16T00:00:00"/>
    <x v="5"/>
    <x v="6"/>
    <n v="9325"/>
    <x v="1"/>
    <x v="4"/>
    <s v="Nurse Kelly"/>
    <x v="0"/>
    <n v="7"/>
    <s v="Extended"/>
  </r>
  <r>
    <x v="822"/>
    <x v="816"/>
    <n v="46"/>
    <x v="0"/>
    <d v="2025-05-20T00:00:00"/>
    <d v="2025-05-28T00:00:00"/>
    <x v="2"/>
    <x v="6"/>
    <n v="4441"/>
    <x v="0"/>
    <x v="3"/>
    <s v="Nurse Rita"/>
    <x v="2"/>
    <n v="8"/>
    <s v="Extended"/>
  </r>
  <r>
    <x v="823"/>
    <x v="817"/>
    <n v="80"/>
    <x v="1"/>
    <d v="2024-09-24T00:00:00"/>
    <d v="2024-10-06T00:00:00"/>
    <x v="1"/>
    <x v="3"/>
    <n v="2411"/>
    <x v="1"/>
    <x v="4"/>
    <s v="Nurse Rita"/>
    <x v="1"/>
    <n v="12"/>
    <s v="Extended"/>
  </r>
  <r>
    <x v="824"/>
    <x v="818"/>
    <n v="66"/>
    <x v="0"/>
    <d v="2024-11-19T00:00:00"/>
    <d v="2024-11-27T00:00:00"/>
    <x v="0"/>
    <x v="6"/>
    <n v="5407"/>
    <x v="0"/>
    <x v="5"/>
    <s v="Nurse Allen"/>
    <x v="0"/>
    <n v="8"/>
    <s v="Extended"/>
  </r>
  <r>
    <x v="825"/>
    <x v="819"/>
    <n v="18"/>
    <x v="0"/>
    <d v="2024-12-07T00:00:00"/>
    <d v="2024-12-13T00:00:00"/>
    <x v="6"/>
    <x v="0"/>
    <n v="2468"/>
    <x v="1"/>
    <x v="3"/>
    <s v="Nurse Allen"/>
    <x v="1"/>
    <n v="6"/>
    <s v="Extended"/>
  </r>
  <r>
    <x v="826"/>
    <x v="820"/>
    <n v="65"/>
    <x v="0"/>
    <d v="2025-05-16T00:00:00"/>
    <d v="2025-05-20T00:00:00"/>
    <x v="4"/>
    <x v="1"/>
    <n v="4063"/>
    <x v="1"/>
    <x v="1"/>
    <s v="Nurse John"/>
    <x v="1"/>
    <n v="4"/>
    <s v="Extended"/>
  </r>
  <r>
    <x v="827"/>
    <x v="821"/>
    <n v="84"/>
    <x v="0"/>
    <d v="2024-07-07T00:00:00"/>
    <d v="2024-07-20T00:00:00"/>
    <x v="0"/>
    <x v="1"/>
    <n v="9915"/>
    <x v="0"/>
    <x v="6"/>
    <s v="Nurse Allen"/>
    <x v="0"/>
    <n v="13"/>
    <s v="Extended"/>
  </r>
  <r>
    <x v="828"/>
    <x v="822"/>
    <n v="45"/>
    <x v="0"/>
    <d v="2025-03-30T00:00:00"/>
    <d v="2025-04-03T00:00:00"/>
    <x v="4"/>
    <x v="7"/>
    <n v="1141"/>
    <x v="1"/>
    <x v="5"/>
    <s v="Nurse Kelly"/>
    <x v="2"/>
    <n v="4"/>
    <s v="Extended"/>
  </r>
  <r>
    <x v="829"/>
    <x v="823"/>
    <n v="64"/>
    <x v="0"/>
    <d v="2025-05-13T00:00:00"/>
    <d v="2025-05-18T00:00:00"/>
    <x v="3"/>
    <x v="9"/>
    <n v="1442"/>
    <x v="0"/>
    <x v="6"/>
    <s v="Nurse John"/>
    <x v="1"/>
    <n v="5"/>
    <s v="Extended"/>
  </r>
  <r>
    <x v="830"/>
    <x v="824"/>
    <n v="42"/>
    <x v="1"/>
    <d v="2024-11-19T00:00:00"/>
    <d v="2024-12-02T00:00:00"/>
    <x v="2"/>
    <x v="2"/>
    <n v="3089"/>
    <x v="1"/>
    <x v="6"/>
    <s v="Nurse Lisa"/>
    <x v="1"/>
    <n v="13"/>
    <s v="Extended"/>
  </r>
  <r>
    <x v="831"/>
    <x v="825"/>
    <n v="31"/>
    <x v="0"/>
    <d v="2025-03-15T00:00:00"/>
    <d v="2025-03-25T00:00:00"/>
    <x v="6"/>
    <x v="0"/>
    <n v="6173"/>
    <x v="0"/>
    <x v="3"/>
    <s v="Nurse Allen"/>
    <x v="2"/>
    <n v="10"/>
    <s v="Extended"/>
  </r>
  <r>
    <x v="832"/>
    <x v="826"/>
    <n v="89"/>
    <x v="0"/>
    <d v="2024-10-06T00:00:00"/>
    <d v="2024-10-13T00:00:00"/>
    <x v="1"/>
    <x v="1"/>
    <n v="3781"/>
    <x v="1"/>
    <x v="6"/>
    <s v="Nurse John"/>
    <x v="1"/>
    <n v="7"/>
    <s v="Extended"/>
  </r>
  <r>
    <x v="833"/>
    <x v="827"/>
    <n v="51"/>
    <x v="1"/>
    <d v="2024-10-23T00:00:00"/>
    <d v="2024-11-02T00:00:00"/>
    <x v="3"/>
    <x v="1"/>
    <n v="6889"/>
    <x v="1"/>
    <x v="6"/>
    <s v="Nurse Kelly"/>
    <x v="1"/>
    <n v="10"/>
    <s v="Extended"/>
  </r>
  <r>
    <x v="834"/>
    <x v="828"/>
    <n v="86"/>
    <x v="0"/>
    <d v="2024-08-03T00:00:00"/>
    <d v="2024-08-15T00:00:00"/>
    <x v="0"/>
    <x v="0"/>
    <n v="6651"/>
    <x v="1"/>
    <x v="3"/>
    <s v="Nurse Allen"/>
    <x v="1"/>
    <n v="12"/>
    <s v="Extended"/>
  </r>
  <r>
    <x v="835"/>
    <x v="829"/>
    <n v="27"/>
    <x v="1"/>
    <d v="2024-07-03T00:00:00"/>
    <d v="2024-07-07T00:00:00"/>
    <x v="3"/>
    <x v="2"/>
    <n v="9325"/>
    <x v="0"/>
    <x v="0"/>
    <s v="Nurse Allen"/>
    <x v="2"/>
    <n v="4"/>
    <s v="Extended"/>
  </r>
  <r>
    <x v="836"/>
    <x v="830"/>
    <n v="22"/>
    <x v="0"/>
    <d v="2025-01-29T00:00:00"/>
    <d v="2025-02-10T00:00:00"/>
    <x v="3"/>
    <x v="1"/>
    <n v="5233"/>
    <x v="1"/>
    <x v="6"/>
    <s v="Nurse Allen"/>
    <x v="2"/>
    <n v="12"/>
    <s v="Extended"/>
  </r>
  <r>
    <x v="837"/>
    <x v="831"/>
    <n v="40"/>
    <x v="1"/>
    <d v="2025-03-18T00:00:00"/>
    <d v="2025-03-21T00:00:00"/>
    <x v="6"/>
    <x v="4"/>
    <n v="6057"/>
    <x v="0"/>
    <x v="1"/>
    <s v="Nurse Rita"/>
    <x v="0"/>
    <n v="3"/>
    <s v="Normal"/>
  </r>
  <r>
    <x v="838"/>
    <x v="832"/>
    <n v="60"/>
    <x v="1"/>
    <d v="2025-03-14T00:00:00"/>
    <d v="2025-03-16T00:00:00"/>
    <x v="5"/>
    <x v="5"/>
    <n v="4613"/>
    <x v="1"/>
    <x v="5"/>
    <s v="Nurse Rita"/>
    <x v="1"/>
    <n v="2"/>
    <s v="Normal"/>
  </r>
  <r>
    <x v="839"/>
    <x v="833"/>
    <n v="75"/>
    <x v="1"/>
    <d v="2024-11-25T00:00:00"/>
    <d v="2024-12-05T00:00:00"/>
    <x v="0"/>
    <x v="8"/>
    <n v="8538"/>
    <x v="1"/>
    <x v="0"/>
    <s v="Nurse Rita"/>
    <x v="1"/>
    <n v="10"/>
    <s v="Extended"/>
  </r>
  <r>
    <x v="840"/>
    <x v="834"/>
    <n v="82"/>
    <x v="0"/>
    <d v="2025-04-24T00:00:00"/>
    <d v="2025-04-28T00:00:00"/>
    <x v="5"/>
    <x v="9"/>
    <n v="3970"/>
    <x v="0"/>
    <x v="0"/>
    <s v="Nurse John"/>
    <x v="2"/>
    <n v="4"/>
    <s v="Extended"/>
  </r>
  <r>
    <x v="841"/>
    <x v="835"/>
    <n v="86"/>
    <x v="0"/>
    <d v="2024-07-23T00:00:00"/>
    <d v="2024-08-02T00:00:00"/>
    <x v="1"/>
    <x v="7"/>
    <n v="3553"/>
    <x v="1"/>
    <x v="3"/>
    <s v="Nurse Allen"/>
    <x v="0"/>
    <n v="10"/>
    <s v="Extended"/>
  </r>
  <r>
    <x v="842"/>
    <x v="836"/>
    <n v="9"/>
    <x v="1"/>
    <d v="2024-07-09T00:00:00"/>
    <d v="2024-07-17T00:00:00"/>
    <x v="3"/>
    <x v="1"/>
    <n v="7138"/>
    <x v="0"/>
    <x v="1"/>
    <s v="Nurse Lisa"/>
    <x v="2"/>
    <n v="8"/>
    <s v="Extended"/>
  </r>
  <r>
    <x v="843"/>
    <x v="837"/>
    <n v="54"/>
    <x v="0"/>
    <d v="2024-11-14T00:00:00"/>
    <d v="2024-11-16T00:00:00"/>
    <x v="6"/>
    <x v="3"/>
    <n v="8678"/>
    <x v="1"/>
    <x v="4"/>
    <s v="Nurse Lisa"/>
    <x v="0"/>
    <n v="2"/>
    <s v="Normal"/>
  </r>
  <r>
    <x v="844"/>
    <x v="838"/>
    <n v="86"/>
    <x v="0"/>
    <d v="2024-07-24T00:00:00"/>
    <d v="2024-07-26T00:00:00"/>
    <x v="2"/>
    <x v="1"/>
    <n v="2239"/>
    <x v="0"/>
    <x v="6"/>
    <s v="Nurse Allen"/>
    <x v="1"/>
    <n v="2"/>
    <s v="Normal"/>
  </r>
  <r>
    <x v="845"/>
    <x v="839"/>
    <n v="86"/>
    <x v="0"/>
    <d v="2024-12-16T00:00:00"/>
    <d v="2024-12-29T00:00:00"/>
    <x v="5"/>
    <x v="2"/>
    <n v="2803"/>
    <x v="0"/>
    <x v="3"/>
    <s v="Nurse Zoe"/>
    <x v="2"/>
    <n v="13"/>
    <s v="Extended"/>
  </r>
  <r>
    <x v="846"/>
    <x v="840"/>
    <n v="16"/>
    <x v="1"/>
    <d v="2024-11-26T00:00:00"/>
    <d v="2024-11-30T00:00:00"/>
    <x v="5"/>
    <x v="7"/>
    <n v="5395"/>
    <x v="0"/>
    <x v="6"/>
    <s v="Nurse Kelly"/>
    <x v="2"/>
    <n v="4"/>
    <s v="Extended"/>
  </r>
  <r>
    <x v="847"/>
    <x v="841"/>
    <n v="29"/>
    <x v="1"/>
    <d v="2024-09-17T00:00:00"/>
    <d v="2024-09-26T00:00:00"/>
    <x v="6"/>
    <x v="0"/>
    <n v="2676"/>
    <x v="1"/>
    <x v="1"/>
    <s v="Nurse Kelly"/>
    <x v="0"/>
    <n v="9"/>
    <s v="Extended"/>
  </r>
  <r>
    <x v="848"/>
    <x v="842"/>
    <n v="54"/>
    <x v="0"/>
    <d v="2025-05-15T00:00:00"/>
    <d v="2025-05-27T00:00:00"/>
    <x v="4"/>
    <x v="0"/>
    <n v="4120"/>
    <x v="1"/>
    <x v="2"/>
    <s v="Nurse Rita"/>
    <x v="0"/>
    <n v="12"/>
    <s v="Extended"/>
  </r>
  <r>
    <x v="849"/>
    <x v="72"/>
    <n v="5"/>
    <x v="1"/>
    <d v="2024-12-08T00:00:00"/>
    <d v="2024-12-16T00:00:00"/>
    <x v="0"/>
    <x v="6"/>
    <n v="7641"/>
    <x v="0"/>
    <x v="6"/>
    <s v="Nurse Allen"/>
    <x v="0"/>
    <n v="8"/>
    <s v="Extended"/>
  </r>
  <r>
    <x v="850"/>
    <x v="657"/>
    <n v="5"/>
    <x v="0"/>
    <d v="2024-08-28T00:00:00"/>
    <d v="2024-09-06T00:00:00"/>
    <x v="3"/>
    <x v="3"/>
    <n v="9271"/>
    <x v="0"/>
    <x v="2"/>
    <s v="Nurse John"/>
    <x v="1"/>
    <n v="9"/>
    <s v="Extended"/>
  </r>
  <r>
    <x v="851"/>
    <x v="843"/>
    <n v="69"/>
    <x v="0"/>
    <d v="2025-05-05T00:00:00"/>
    <d v="2025-05-10T00:00:00"/>
    <x v="6"/>
    <x v="6"/>
    <n v="5277"/>
    <x v="0"/>
    <x v="2"/>
    <s v="Nurse Zoe"/>
    <x v="1"/>
    <n v="5"/>
    <s v="Extended"/>
  </r>
  <r>
    <x v="852"/>
    <x v="844"/>
    <n v="74"/>
    <x v="0"/>
    <d v="2024-09-23T00:00:00"/>
    <d v="2024-09-24T00:00:00"/>
    <x v="6"/>
    <x v="4"/>
    <n v="3826"/>
    <x v="0"/>
    <x v="0"/>
    <s v="Nurse Lisa"/>
    <x v="1"/>
    <n v="1"/>
    <s v="Normal"/>
  </r>
  <r>
    <x v="853"/>
    <x v="845"/>
    <n v="52"/>
    <x v="1"/>
    <d v="2025-01-11T00:00:00"/>
    <d v="2025-01-22T00:00:00"/>
    <x v="0"/>
    <x v="4"/>
    <n v="6083"/>
    <x v="1"/>
    <x v="4"/>
    <s v="Nurse John"/>
    <x v="2"/>
    <n v="11"/>
    <s v="Extended"/>
  </r>
  <r>
    <x v="854"/>
    <x v="846"/>
    <n v="83"/>
    <x v="1"/>
    <d v="2025-01-14T00:00:00"/>
    <d v="2025-01-26T00:00:00"/>
    <x v="5"/>
    <x v="7"/>
    <n v="3418"/>
    <x v="0"/>
    <x v="3"/>
    <s v="Nurse Zoe"/>
    <x v="0"/>
    <n v="12"/>
    <s v="Extended"/>
  </r>
  <r>
    <x v="855"/>
    <x v="847"/>
    <n v="31"/>
    <x v="1"/>
    <d v="2024-07-30T00:00:00"/>
    <d v="2024-08-08T00:00:00"/>
    <x v="3"/>
    <x v="4"/>
    <n v="7215"/>
    <x v="0"/>
    <x v="0"/>
    <s v="Nurse Allen"/>
    <x v="1"/>
    <n v="9"/>
    <s v="Extended"/>
  </r>
  <r>
    <x v="856"/>
    <x v="848"/>
    <n v="14"/>
    <x v="0"/>
    <d v="2024-10-11T00:00:00"/>
    <d v="2024-10-23T00:00:00"/>
    <x v="2"/>
    <x v="3"/>
    <n v="7823"/>
    <x v="1"/>
    <x v="4"/>
    <s v="Nurse Rita"/>
    <x v="2"/>
    <n v="12"/>
    <s v="Extended"/>
  </r>
  <r>
    <x v="857"/>
    <x v="849"/>
    <n v="78"/>
    <x v="0"/>
    <d v="2024-10-16T00:00:00"/>
    <d v="2024-10-27T00:00:00"/>
    <x v="2"/>
    <x v="9"/>
    <n v="9481"/>
    <x v="0"/>
    <x v="2"/>
    <s v="Nurse Lisa"/>
    <x v="1"/>
    <n v="11"/>
    <s v="Extended"/>
  </r>
  <r>
    <x v="858"/>
    <x v="850"/>
    <n v="27"/>
    <x v="0"/>
    <d v="2025-02-02T00:00:00"/>
    <d v="2025-02-04T00:00:00"/>
    <x v="1"/>
    <x v="4"/>
    <n v="6427"/>
    <x v="1"/>
    <x v="3"/>
    <s v="Nurse Rita"/>
    <x v="2"/>
    <n v="2"/>
    <s v="Normal"/>
  </r>
  <r>
    <x v="859"/>
    <x v="851"/>
    <n v="80"/>
    <x v="1"/>
    <d v="2024-06-04T00:00:00"/>
    <d v="2024-06-06T00:00:00"/>
    <x v="6"/>
    <x v="2"/>
    <n v="4373"/>
    <x v="0"/>
    <x v="2"/>
    <s v="Nurse Zoe"/>
    <x v="1"/>
    <n v="2"/>
    <s v="Normal"/>
  </r>
  <r>
    <x v="860"/>
    <x v="852"/>
    <n v="57"/>
    <x v="1"/>
    <d v="2025-02-09T00:00:00"/>
    <d v="2025-02-20T00:00:00"/>
    <x v="3"/>
    <x v="1"/>
    <n v="2507"/>
    <x v="1"/>
    <x v="2"/>
    <s v="Nurse Allen"/>
    <x v="0"/>
    <n v="11"/>
    <s v="Extended"/>
  </r>
  <r>
    <x v="861"/>
    <x v="853"/>
    <n v="45"/>
    <x v="0"/>
    <d v="2024-11-14T00:00:00"/>
    <d v="2024-11-21T00:00:00"/>
    <x v="2"/>
    <x v="0"/>
    <n v="9591"/>
    <x v="0"/>
    <x v="6"/>
    <s v="Nurse Mia"/>
    <x v="0"/>
    <n v="7"/>
    <s v="Extended"/>
  </r>
  <r>
    <x v="862"/>
    <x v="854"/>
    <n v="66"/>
    <x v="0"/>
    <d v="2024-10-20T00:00:00"/>
    <d v="2024-10-25T00:00:00"/>
    <x v="5"/>
    <x v="1"/>
    <n v="2865"/>
    <x v="1"/>
    <x v="5"/>
    <s v="Nurse Kelly"/>
    <x v="0"/>
    <n v="5"/>
    <s v="Extended"/>
  </r>
  <r>
    <x v="863"/>
    <x v="855"/>
    <n v="17"/>
    <x v="0"/>
    <d v="2025-04-02T00:00:00"/>
    <d v="2025-04-16T00:00:00"/>
    <x v="1"/>
    <x v="8"/>
    <n v="6712"/>
    <x v="1"/>
    <x v="6"/>
    <s v="Nurse Mia"/>
    <x v="2"/>
    <n v="14"/>
    <s v="Extended"/>
  </r>
  <r>
    <x v="864"/>
    <x v="856"/>
    <n v="18"/>
    <x v="1"/>
    <d v="2024-10-15T00:00:00"/>
    <d v="2024-10-17T00:00:00"/>
    <x v="0"/>
    <x v="5"/>
    <n v="2003"/>
    <x v="0"/>
    <x v="3"/>
    <s v="Nurse John"/>
    <x v="2"/>
    <n v="2"/>
    <s v="Normal"/>
  </r>
  <r>
    <x v="865"/>
    <x v="857"/>
    <n v="63"/>
    <x v="0"/>
    <d v="2025-05-18T00:00:00"/>
    <d v="2025-05-29T00:00:00"/>
    <x v="2"/>
    <x v="6"/>
    <n v="1289"/>
    <x v="1"/>
    <x v="4"/>
    <s v="Nurse Kelly"/>
    <x v="2"/>
    <n v="11"/>
    <s v="Extended"/>
  </r>
  <r>
    <x v="866"/>
    <x v="858"/>
    <n v="6"/>
    <x v="0"/>
    <d v="2025-02-28T00:00:00"/>
    <d v="2025-03-06T00:00:00"/>
    <x v="0"/>
    <x v="1"/>
    <n v="1480"/>
    <x v="0"/>
    <x v="4"/>
    <s v="Nurse John"/>
    <x v="0"/>
    <n v="6"/>
    <s v="Extended"/>
  </r>
  <r>
    <x v="867"/>
    <x v="859"/>
    <n v="20"/>
    <x v="0"/>
    <d v="2024-06-03T00:00:00"/>
    <d v="2024-06-10T00:00:00"/>
    <x v="4"/>
    <x v="4"/>
    <n v="4795"/>
    <x v="0"/>
    <x v="2"/>
    <s v="Nurse Zoe"/>
    <x v="1"/>
    <n v="7"/>
    <s v="Extended"/>
  </r>
  <r>
    <x v="868"/>
    <x v="352"/>
    <n v="34"/>
    <x v="0"/>
    <d v="2025-01-01T00:00:00"/>
    <d v="2025-01-02T00:00:00"/>
    <x v="5"/>
    <x v="8"/>
    <n v="7235"/>
    <x v="1"/>
    <x v="0"/>
    <s v="Nurse Mia"/>
    <x v="0"/>
    <n v="1"/>
    <s v="Normal"/>
  </r>
  <r>
    <x v="869"/>
    <x v="860"/>
    <n v="6"/>
    <x v="0"/>
    <d v="2024-11-27T00:00:00"/>
    <d v="2024-12-09T00:00:00"/>
    <x v="5"/>
    <x v="3"/>
    <n v="5940"/>
    <x v="0"/>
    <x v="2"/>
    <s v="Nurse John"/>
    <x v="1"/>
    <n v="12"/>
    <s v="Extended"/>
  </r>
  <r>
    <x v="870"/>
    <x v="861"/>
    <n v="50"/>
    <x v="1"/>
    <d v="2024-09-07T00:00:00"/>
    <d v="2024-09-13T00:00:00"/>
    <x v="2"/>
    <x v="5"/>
    <n v="7963"/>
    <x v="1"/>
    <x v="6"/>
    <s v="Nurse Allen"/>
    <x v="1"/>
    <n v="6"/>
    <s v="Extended"/>
  </r>
  <r>
    <x v="871"/>
    <x v="862"/>
    <n v="42"/>
    <x v="0"/>
    <d v="2024-11-03T00:00:00"/>
    <d v="2024-11-04T00:00:00"/>
    <x v="4"/>
    <x v="4"/>
    <n v="8305"/>
    <x v="0"/>
    <x v="0"/>
    <s v="Nurse Zoe"/>
    <x v="2"/>
    <n v="1"/>
    <s v="Normal"/>
  </r>
  <r>
    <x v="872"/>
    <x v="863"/>
    <n v="85"/>
    <x v="1"/>
    <d v="2025-02-03T00:00:00"/>
    <d v="2025-02-06T00:00:00"/>
    <x v="3"/>
    <x v="7"/>
    <n v="5107"/>
    <x v="0"/>
    <x v="6"/>
    <s v="Nurse Kelly"/>
    <x v="1"/>
    <n v="3"/>
    <s v="Normal"/>
  </r>
  <r>
    <x v="873"/>
    <x v="864"/>
    <n v="47"/>
    <x v="1"/>
    <d v="2024-12-17T00:00:00"/>
    <d v="2024-12-30T00:00:00"/>
    <x v="6"/>
    <x v="7"/>
    <n v="4320"/>
    <x v="1"/>
    <x v="0"/>
    <s v="Nurse Mia"/>
    <x v="1"/>
    <n v="13"/>
    <s v="Extended"/>
  </r>
  <r>
    <x v="874"/>
    <x v="865"/>
    <n v="47"/>
    <x v="0"/>
    <d v="2024-11-11T00:00:00"/>
    <d v="2024-11-17T00:00:00"/>
    <x v="1"/>
    <x v="9"/>
    <n v="2123"/>
    <x v="0"/>
    <x v="1"/>
    <s v="Nurse Allen"/>
    <x v="1"/>
    <n v="6"/>
    <s v="Extended"/>
  </r>
  <r>
    <x v="875"/>
    <x v="866"/>
    <n v="33"/>
    <x v="1"/>
    <d v="2025-01-14T00:00:00"/>
    <d v="2025-01-28T00:00:00"/>
    <x v="6"/>
    <x v="2"/>
    <n v="8933"/>
    <x v="0"/>
    <x v="6"/>
    <s v="Nurse Zoe"/>
    <x v="0"/>
    <n v="14"/>
    <s v="Extended"/>
  </r>
  <r>
    <x v="876"/>
    <x v="867"/>
    <n v="70"/>
    <x v="0"/>
    <d v="2025-05-15T00:00:00"/>
    <d v="2025-05-26T00:00:00"/>
    <x v="3"/>
    <x v="0"/>
    <n v="3538"/>
    <x v="1"/>
    <x v="5"/>
    <s v="Nurse John"/>
    <x v="2"/>
    <n v="11"/>
    <s v="Extended"/>
  </r>
  <r>
    <x v="877"/>
    <x v="868"/>
    <n v="54"/>
    <x v="0"/>
    <d v="2025-04-17T00:00:00"/>
    <d v="2025-04-29T00:00:00"/>
    <x v="1"/>
    <x v="2"/>
    <n v="8977"/>
    <x v="1"/>
    <x v="5"/>
    <s v="Nurse Mia"/>
    <x v="0"/>
    <n v="12"/>
    <s v="Extended"/>
  </r>
  <r>
    <x v="878"/>
    <x v="869"/>
    <n v="20"/>
    <x v="0"/>
    <d v="2024-09-23T00:00:00"/>
    <d v="2024-09-25T00:00:00"/>
    <x v="6"/>
    <x v="3"/>
    <n v="9091"/>
    <x v="1"/>
    <x v="5"/>
    <s v="Nurse Lisa"/>
    <x v="0"/>
    <n v="2"/>
    <s v="Normal"/>
  </r>
  <r>
    <x v="879"/>
    <x v="870"/>
    <n v="54"/>
    <x v="1"/>
    <d v="2024-08-16T00:00:00"/>
    <d v="2024-08-27T00:00:00"/>
    <x v="3"/>
    <x v="8"/>
    <n v="7750"/>
    <x v="0"/>
    <x v="4"/>
    <s v="Nurse Lisa"/>
    <x v="1"/>
    <n v="11"/>
    <s v="Extended"/>
  </r>
  <r>
    <x v="880"/>
    <x v="871"/>
    <n v="42"/>
    <x v="1"/>
    <d v="2025-03-11T00:00:00"/>
    <d v="2025-03-24T00:00:00"/>
    <x v="5"/>
    <x v="4"/>
    <n v="1625"/>
    <x v="1"/>
    <x v="0"/>
    <s v="Nurse Mia"/>
    <x v="0"/>
    <n v="13"/>
    <s v="Extended"/>
  </r>
  <r>
    <x v="881"/>
    <x v="872"/>
    <n v="80"/>
    <x v="1"/>
    <d v="2025-02-19T00:00:00"/>
    <d v="2025-02-25T00:00:00"/>
    <x v="1"/>
    <x v="1"/>
    <n v="3078"/>
    <x v="1"/>
    <x v="2"/>
    <s v="Nurse Rita"/>
    <x v="0"/>
    <n v="6"/>
    <s v="Extended"/>
  </r>
  <r>
    <x v="882"/>
    <x v="873"/>
    <n v="46"/>
    <x v="1"/>
    <d v="2025-05-21T00:00:00"/>
    <d v="2025-06-03T00:00:00"/>
    <x v="3"/>
    <x v="9"/>
    <n v="1810"/>
    <x v="1"/>
    <x v="5"/>
    <s v="Nurse Kelly"/>
    <x v="2"/>
    <n v="13"/>
    <s v="Extended"/>
  </r>
  <r>
    <x v="883"/>
    <x v="874"/>
    <n v="1"/>
    <x v="0"/>
    <d v="2024-12-09T00:00:00"/>
    <d v="2024-12-23T00:00:00"/>
    <x v="6"/>
    <x v="3"/>
    <n v="5782"/>
    <x v="0"/>
    <x v="6"/>
    <s v="Nurse John"/>
    <x v="2"/>
    <n v="14"/>
    <s v="Extended"/>
  </r>
  <r>
    <x v="884"/>
    <x v="875"/>
    <n v="71"/>
    <x v="1"/>
    <d v="2025-02-10T00:00:00"/>
    <d v="2025-02-19T00:00:00"/>
    <x v="0"/>
    <x v="2"/>
    <n v="1018"/>
    <x v="1"/>
    <x v="2"/>
    <s v="Nurse Mia"/>
    <x v="2"/>
    <n v="9"/>
    <s v="Extended"/>
  </r>
  <r>
    <x v="885"/>
    <x v="876"/>
    <n v="13"/>
    <x v="1"/>
    <d v="2024-08-09T00:00:00"/>
    <d v="2024-08-22T00:00:00"/>
    <x v="6"/>
    <x v="5"/>
    <n v="5363"/>
    <x v="0"/>
    <x v="2"/>
    <s v="Nurse Lisa"/>
    <x v="1"/>
    <n v="13"/>
    <s v="Extended"/>
  </r>
  <r>
    <x v="886"/>
    <x v="877"/>
    <n v="9"/>
    <x v="0"/>
    <d v="2024-09-11T00:00:00"/>
    <d v="2024-09-19T00:00:00"/>
    <x v="5"/>
    <x v="9"/>
    <n v="9677"/>
    <x v="1"/>
    <x v="1"/>
    <s v="Nurse Mia"/>
    <x v="1"/>
    <n v="8"/>
    <s v="Extended"/>
  </r>
  <r>
    <x v="887"/>
    <x v="878"/>
    <n v="72"/>
    <x v="0"/>
    <d v="2024-12-24T00:00:00"/>
    <d v="2025-01-02T00:00:00"/>
    <x v="0"/>
    <x v="5"/>
    <n v="6381"/>
    <x v="0"/>
    <x v="5"/>
    <s v="Nurse Mia"/>
    <x v="2"/>
    <n v="9"/>
    <s v="Extended"/>
  </r>
  <r>
    <x v="888"/>
    <x v="879"/>
    <n v="19"/>
    <x v="1"/>
    <d v="2024-10-17T00:00:00"/>
    <d v="2024-10-24T00:00:00"/>
    <x v="0"/>
    <x v="7"/>
    <n v="9771"/>
    <x v="1"/>
    <x v="4"/>
    <s v="Nurse Mia"/>
    <x v="0"/>
    <n v="7"/>
    <s v="Extended"/>
  </r>
  <r>
    <x v="889"/>
    <x v="880"/>
    <n v="55"/>
    <x v="1"/>
    <d v="2024-07-17T00:00:00"/>
    <d v="2024-07-22T00:00:00"/>
    <x v="3"/>
    <x v="6"/>
    <n v="4062"/>
    <x v="1"/>
    <x v="4"/>
    <s v="Nurse Lisa"/>
    <x v="1"/>
    <n v="5"/>
    <s v="Extended"/>
  </r>
  <r>
    <x v="890"/>
    <x v="881"/>
    <n v="75"/>
    <x v="1"/>
    <d v="2024-12-23T00:00:00"/>
    <d v="2024-12-29T00:00:00"/>
    <x v="0"/>
    <x v="3"/>
    <n v="3700"/>
    <x v="1"/>
    <x v="3"/>
    <s v="Nurse Zoe"/>
    <x v="1"/>
    <n v="6"/>
    <s v="Extended"/>
  </r>
  <r>
    <x v="891"/>
    <x v="882"/>
    <n v="72"/>
    <x v="1"/>
    <d v="2024-06-17T00:00:00"/>
    <d v="2024-06-26T00:00:00"/>
    <x v="5"/>
    <x v="8"/>
    <n v="9983"/>
    <x v="1"/>
    <x v="4"/>
    <s v="Nurse Mia"/>
    <x v="0"/>
    <n v="9"/>
    <s v="Extended"/>
  </r>
  <r>
    <x v="892"/>
    <x v="883"/>
    <n v="44"/>
    <x v="0"/>
    <d v="2024-08-17T00:00:00"/>
    <d v="2024-08-27T00:00:00"/>
    <x v="1"/>
    <x v="4"/>
    <n v="7092"/>
    <x v="0"/>
    <x v="5"/>
    <s v="Nurse Allen"/>
    <x v="2"/>
    <n v="10"/>
    <s v="Extended"/>
  </r>
  <r>
    <x v="893"/>
    <x v="884"/>
    <n v="81"/>
    <x v="0"/>
    <d v="2025-02-05T00:00:00"/>
    <d v="2025-02-10T00:00:00"/>
    <x v="0"/>
    <x v="6"/>
    <n v="1411"/>
    <x v="1"/>
    <x v="3"/>
    <s v="Nurse John"/>
    <x v="2"/>
    <n v="5"/>
    <s v="Extended"/>
  </r>
  <r>
    <x v="894"/>
    <x v="885"/>
    <n v="82"/>
    <x v="1"/>
    <d v="2024-08-24T00:00:00"/>
    <d v="2024-08-30T00:00:00"/>
    <x v="6"/>
    <x v="0"/>
    <n v="7764"/>
    <x v="1"/>
    <x v="2"/>
    <s v="Nurse Rita"/>
    <x v="2"/>
    <n v="6"/>
    <s v="Extended"/>
  </r>
  <r>
    <x v="895"/>
    <x v="886"/>
    <n v="13"/>
    <x v="1"/>
    <d v="2025-01-03T00:00:00"/>
    <d v="2025-01-11T00:00:00"/>
    <x v="0"/>
    <x v="6"/>
    <n v="9783"/>
    <x v="1"/>
    <x v="4"/>
    <s v="Nurse Mia"/>
    <x v="0"/>
    <n v="8"/>
    <s v="Extended"/>
  </r>
  <r>
    <x v="896"/>
    <x v="887"/>
    <n v="29"/>
    <x v="1"/>
    <d v="2024-12-23T00:00:00"/>
    <d v="2025-01-02T00:00:00"/>
    <x v="6"/>
    <x v="8"/>
    <n v="8268"/>
    <x v="1"/>
    <x v="0"/>
    <s v="Nurse Zoe"/>
    <x v="0"/>
    <n v="10"/>
    <s v="Extended"/>
  </r>
  <r>
    <x v="897"/>
    <x v="888"/>
    <n v="7"/>
    <x v="0"/>
    <d v="2024-12-27T00:00:00"/>
    <d v="2024-12-31T00:00:00"/>
    <x v="2"/>
    <x v="7"/>
    <n v="2745"/>
    <x v="0"/>
    <x v="0"/>
    <s v="Nurse Zoe"/>
    <x v="1"/>
    <n v="4"/>
    <s v="Extended"/>
  </r>
  <r>
    <x v="898"/>
    <x v="889"/>
    <n v="7"/>
    <x v="1"/>
    <d v="2025-04-09T00:00:00"/>
    <d v="2025-04-19T00:00:00"/>
    <x v="3"/>
    <x v="7"/>
    <n v="7010"/>
    <x v="0"/>
    <x v="1"/>
    <s v="Nurse Rita"/>
    <x v="1"/>
    <n v="10"/>
    <s v="Extended"/>
  </r>
  <r>
    <x v="899"/>
    <x v="890"/>
    <n v="53"/>
    <x v="0"/>
    <d v="2024-09-22T00:00:00"/>
    <d v="2024-10-04T00:00:00"/>
    <x v="4"/>
    <x v="3"/>
    <n v="9503"/>
    <x v="0"/>
    <x v="2"/>
    <s v="Nurse Allen"/>
    <x v="1"/>
    <n v="12"/>
    <s v="Extended"/>
  </r>
  <r>
    <x v="900"/>
    <x v="891"/>
    <n v="67"/>
    <x v="1"/>
    <d v="2025-01-23T00:00:00"/>
    <d v="2025-02-01T00:00:00"/>
    <x v="4"/>
    <x v="2"/>
    <n v="4379"/>
    <x v="1"/>
    <x v="1"/>
    <s v="Nurse Mia"/>
    <x v="1"/>
    <n v="9"/>
    <s v="Extended"/>
  </r>
  <r>
    <x v="901"/>
    <x v="892"/>
    <n v="88"/>
    <x v="1"/>
    <d v="2024-11-03T00:00:00"/>
    <d v="2024-11-13T00:00:00"/>
    <x v="5"/>
    <x v="1"/>
    <n v="1807"/>
    <x v="0"/>
    <x v="6"/>
    <s v="Nurse Mia"/>
    <x v="1"/>
    <n v="10"/>
    <s v="Extended"/>
  </r>
  <r>
    <x v="902"/>
    <x v="893"/>
    <n v="60"/>
    <x v="0"/>
    <d v="2025-01-24T00:00:00"/>
    <d v="2025-02-04T00:00:00"/>
    <x v="6"/>
    <x v="2"/>
    <n v="5016"/>
    <x v="0"/>
    <x v="6"/>
    <s v="Nurse John"/>
    <x v="1"/>
    <n v="11"/>
    <s v="Extended"/>
  </r>
  <r>
    <x v="903"/>
    <x v="894"/>
    <n v="23"/>
    <x v="1"/>
    <d v="2025-01-21T00:00:00"/>
    <d v="2025-01-26T00:00:00"/>
    <x v="6"/>
    <x v="8"/>
    <n v="9243"/>
    <x v="0"/>
    <x v="5"/>
    <s v="Nurse Rita"/>
    <x v="0"/>
    <n v="5"/>
    <s v="Extended"/>
  </r>
  <r>
    <x v="904"/>
    <x v="895"/>
    <n v="81"/>
    <x v="1"/>
    <d v="2024-07-05T00:00:00"/>
    <d v="2024-07-08T00:00:00"/>
    <x v="6"/>
    <x v="9"/>
    <n v="7465"/>
    <x v="1"/>
    <x v="4"/>
    <s v="Nurse Lisa"/>
    <x v="0"/>
    <n v="3"/>
    <s v="Normal"/>
  </r>
  <r>
    <x v="905"/>
    <x v="896"/>
    <n v="65"/>
    <x v="1"/>
    <d v="2025-01-08T00:00:00"/>
    <d v="2025-01-13T00:00:00"/>
    <x v="4"/>
    <x v="4"/>
    <n v="5001"/>
    <x v="0"/>
    <x v="5"/>
    <s v="Nurse Mia"/>
    <x v="2"/>
    <n v="5"/>
    <s v="Extended"/>
  </r>
  <r>
    <x v="906"/>
    <x v="897"/>
    <n v="33"/>
    <x v="1"/>
    <d v="2024-08-03T00:00:00"/>
    <d v="2024-08-07T00:00:00"/>
    <x v="6"/>
    <x v="1"/>
    <n v="1287"/>
    <x v="1"/>
    <x v="5"/>
    <s v="Nurse Mia"/>
    <x v="1"/>
    <n v="4"/>
    <s v="Extended"/>
  </r>
  <r>
    <x v="907"/>
    <x v="898"/>
    <n v="24"/>
    <x v="1"/>
    <d v="2025-05-27T00:00:00"/>
    <d v="2025-05-31T00:00:00"/>
    <x v="6"/>
    <x v="5"/>
    <n v="3316"/>
    <x v="0"/>
    <x v="3"/>
    <s v="Nurse John"/>
    <x v="0"/>
    <n v="4"/>
    <s v="Extended"/>
  </r>
  <r>
    <x v="908"/>
    <x v="899"/>
    <n v="27"/>
    <x v="1"/>
    <d v="2025-01-05T00:00:00"/>
    <d v="2025-01-18T00:00:00"/>
    <x v="5"/>
    <x v="6"/>
    <n v="8789"/>
    <x v="0"/>
    <x v="5"/>
    <s v="Nurse Zoe"/>
    <x v="0"/>
    <n v="13"/>
    <s v="Extended"/>
  </r>
  <r>
    <x v="909"/>
    <x v="900"/>
    <n v="22"/>
    <x v="0"/>
    <d v="2024-08-22T00:00:00"/>
    <d v="2024-08-25T00:00:00"/>
    <x v="1"/>
    <x v="5"/>
    <n v="8233"/>
    <x v="1"/>
    <x v="0"/>
    <s v="Nurse Allen"/>
    <x v="2"/>
    <n v="3"/>
    <s v="Normal"/>
  </r>
  <r>
    <x v="910"/>
    <x v="901"/>
    <n v="8"/>
    <x v="1"/>
    <d v="2024-11-01T00:00:00"/>
    <d v="2024-11-02T00:00:00"/>
    <x v="4"/>
    <x v="8"/>
    <n v="6899"/>
    <x v="1"/>
    <x v="6"/>
    <s v="Nurse Lisa"/>
    <x v="1"/>
    <n v="1"/>
    <s v="Normal"/>
  </r>
  <r>
    <x v="911"/>
    <x v="902"/>
    <n v="30"/>
    <x v="1"/>
    <d v="2025-02-06T00:00:00"/>
    <d v="2025-02-11T00:00:00"/>
    <x v="0"/>
    <x v="4"/>
    <n v="5167"/>
    <x v="1"/>
    <x v="6"/>
    <s v="Nurse Kelly"/>
    <x v="1"/>
    <n v="5"/>
    <s v="Extended"/>
  </r>
  <r>
    <x v="912"/>
    <x v="903"/>
    <n v="85"/>
    <x v="1"/>
    <d v="2025-02-18T00:00:00"/>
    <d v="2025-02-21T00:00:00"/>
    <x v="1"/>
    <x v="1"/>
    <n v="8595"/>
    <x v="0"/>
    <x v="3"/>
    <s v="Nurse Kelly"/>
    <x v="2"/>
    <n v="3"/>
    <s v="Normal"/>
  </r>
  <r>
    <x v="913"/>
    <x v="904"/>
    <n v="12"/>
    <x v="1"/>
    <d v="2024-12-24T00:00:00"/>
    <d v="2025-01-02T00:00:00"/>
    <x v="2"/>
    <x v="5"/>
    <n v="1813"/>
    <x v="1"/>
    <x v="4"/>
    <s v="Nurse Zoe"/>
    <x v="1"/>
    <n v="9"/>
    <s v="Extended"/>
  </r>
  <r>
    <x v="914"/>
    <x v="905"/>
    <n v="7"/>
    <x v="1"/>
    <d v="2024-08-30T00:00:00"/>
    <d v="2024-09-06T00:00:00"/>
    <x v="5"/>
    <x v="2"/>
    <n v="7567"/>
    <x v="0"/>
    <x v="5"/>
    <s v="Nurse Kelly"/>
    <x v="0"/>
    <n v="7"/>
    <s v="Extended"/>
  </r>
  <r>
    <x v="915"/>
    <x v="906"/>
    <n v="21"/>
    <x v="1"/>
    <d v="2025-01-26T00:00:00"/>
    <d v="2025-02-03T00:00:00"/>
    <x v="2"/>
    <x v="5"/>
    <n v="4959"/>
    <x v="1"/>
    <x v="4"/>
    <s v="Nurse Rita"/>
    <x v="0"/>
    <n v="8"/>
    <s v="Extended"/>
  </r>
  <r>
    <x v="916"/>
    <x v="907"/>
    <n v="87"/>
    <x v="1"/>
    <d v="2024-07-17T00:00:00"/>
    <d v="2024-07-31T00:00:00"/>
    <x v="4"/>
    <x v="1"/>
    <n v="7581"/>
    <x v="0"/>
    <x v="3"/>
    <s v="Nurse Zoe"/>
    <x v="1"/>
    <n v="14"/>
    <s v="Extended"/>
  </r>
  <r>
    <x v="917"/>
    <x v="908"/>
    <n v="2"/>
    <x v="0"/>
    <d v="2025-02-16T00:00:00"/>
    <d v="2025-02-26T00:00:00"/>
    <x v="6"/>
    <x v="3"/>
    <n v="5275"/>
    <x v="0"/>
    <x v="4"/>
    <s v="Nurse Lisa"/>
    <x v="0"/>
    <n v="10"/>
    <s v="Extended"/>
  </r>
  <r>
    <x v="918"/>
    <x v="909"/>
    <n v="77"/>
    <x v="0"/>
    <d v="2025-02-28T00:00:00"/>
    <d v="2025-03-10T00:00:00"/>
    <x v="5"/>
    <x v="6"/>
    <n v="4863"/>
    <x v="0"/>
    <x v="2"/>
    <s v="Nurse Kelly"/>
    <x v="1"/>
    <n v="10"/>
    <s v="Extended"/>
  </r>
  <r>
    <x v="919"/>
    <x v="910"/>
    <n v="61"/>
    <x v="0"/>
    <d v="2024-10-04T00:00:00"/>
    <d v="2024-10-13T00:00:00"/>
    <x v="1"/>
    <x v="7"/>
    <n v="8482"/>
    <x v="0"/>
    <x v="0"/>
    <s v="Nurse Rita"/>
    <x v="0"/>
    <n v="9"/>
    <s v="Extended"/>
  </r>
  <r>
    <x v="920"/>
    <x v="911"/>
    <n v="73"/>
    <x v="0"/>
    <d v="2025-03-10T00:00:00"/>
    <d v="2025-03-18T00:00:00"/>
    <x v="3"/>
    <x v="2"/>
    <n v="1816"/>
    <x v="0"/>
    <x v="1"/>
    <s v="Nurse John"/>
    <x v="0"/>
    <n v="8"/>
    <s v="Extended"/>
  </r>
  <r>
    <x v="921"/>
    <x v="912"/>
    <n v="83"/>
    <x v="0"/>
    <d v="2025-03-12T00:00:00"/>
    <d v="2025-03-19T00:00:00"/>
    <x v="0"/>
    <x v="3"/>
    <n v="3004"/>
    <x v="0"/>
    <x v="5"/>
    <s v="Nurse Kelly"/>
    <x v="2"/>
    <n v="7"/>
    <s v="Extended"/>
  </r>
  <r>
    <x v="922"/>
    <x v="913"/>
    <n v="75"/>
    <x v="1"/>
    <d v="2025-02-12T00:00:00"/>
    <d v="2025-02-17T00:00:00"/>
    <x v="1"/>
    <x v="6"/>
    <n v="1933"/>
    <x v="0"/>
    <x v="5"/>
    <s v="Nurse Zoe"/>
    <x v="1"/>
    <n v="5"/>
    <s v="Extended"/>
  </r>
  <r>
    <x v="923"/>
    <x v="914"/>
    <n v="31"/>
    <x v="0"/>
    <d v="2025-05-18T00:00:00"/>
    <d v="2025-05-20T00:00:00"/>
    <x v="1"/>
    <x v="2"/>
    <n v="6323"/>
    <x v="1"/>
    <x v="1"/>
    <s v="Nurse Lisa"/>
    <x v="1"/>
    <n v="2"/>
    <s v="Normal"/>
  </r>
  <r>
    <x v="924"/>
    <x v="915"/>
    <n v="68"/>
    <x v="1"/>
    <d v="2024-11-14T00:00:00"/>
    <d v="2024-11-17T00:00:00"/>
    <x v="0"/>
    <x v="6"/>
    <n v="7634"/>
    <x v="0"/>
    <x v="0"/>
    <s v="Nurse Allen"/>
    <x v="2"/>
    <n v="3"/>
    <s v="Normal"/>
  </r>
  <r>
    <x v="925"/>
    <x v="916"/>
    <n v="64"/>
    <x v="0"/>
    <d v="2025-01-14T00:00:00"/>
    <d v="2025-01-16T00:00:00"/>
    <x v="5"/>
    <x v="9"/>
    <n v="7851"/>
    <x v="1"/>
    <x v="4"/>
    <s v="Nurse Mia"/>
    <x v="1"/>
    <n v="2"/>
    <s v="Normal"/>
  </r>
  <r>
    <x v="926"/>
    <x v="917"/>
    <n v="36"/>
    <x v="0"/>
    <d v="2024-09-21T00:00:00"/>
    <d v="2024-09-29T00:00:00"/>
    <x v="6"/>
    <x v="4"/>
    <n v="1410"/>
    <x v="1"/>
    <x v="2"/>
    <s v="Nurse Rita"/>
    <x v="1"/>
    <n v="8"/>
    <s v="Extended"/>
  </r>
  <r>
    <x v="927"/>
    <x v="918"/>
    <n v="46"/>
    <x v="0"/>
    <d v="2024-09-19T00:00:00"/>
    <d v="2024-09-21T00:00:00"/>
    <x v="6"/>
    <x v="0"/>
    <n v="5671"/>
    <x v="0"/>
    <x v="1"/>
    <s v="Nurse Mia"/>
    <x v="1"/>
    <n v="2"/>
    <s v="Normal"/>
  </r>
  <r>
    <x v="928"/>
    <x v="919"/>
    <n v="22"/>
    <x v="1"/>
    <d v="2024-09-21T00:00:00"/>
    <d v="2024-09-26T00:00:00"/>
    <x v="1"/>
    <x v="7"/>
    <n v="9760"/>
    <x v="1"/>
    <x v="5"/>
    <s v="Nurse Lisa"/>
    <x v="1"/>
    <n v="5"/>
    <s v="Extended"/>
  </r>
  <r>
    <x v="929"/>
    <x v="920"/>
    <n v="63"/>
    <x v="0"/>
    <d v="2024-11-16T00:00:00"/>
    <d v="2024-11-26T00:00:00"/>
    <x v="3"/>
    <x v="0"/>
    <n v="9298"/>
    <x v="0"/>
    <x v="5"/>
    <s v="Nurse Mia"/>
    <x v="2"/>
    <n v="10"/>
    <s v="Extended"/>
  </r>
  <r>
    <x v="930"/>
    <x v="921"/>
    <n v="15"/>
    <x v="1"/>
    <d v="2025-03-18T00:00:00"/>
    <d v="2025-03-27T00:00:00"/>
    <x v="3"/>
    <x v="5"/>
    <n v="6837"/>
    <x v="0"/>
    <x v="5"/>
    <s v="Nurse Zoe"/>
    <x v="1"/>
    <n v="9"/>
    <s v="Extended"/>
  </r>
  <r>
    <x v="931"/>
    <x v="922"/>
    <n v="84"/>
    <x v="0"/>
    <d v="2024-08-24T00:00:00"/>
    <d v="2024-08-26T00:00:00"/>
    <x v="6"/>
    <x v="0"/>
    <n v="8808"/>
    <x v="0"/>
    <x v="1"/>
    <s v="Nurse Rita"/>
    <x v="1"/>
    <n v="2"/>
    <s v="Normal"/>
  </r>
  <r>
    <x v="932"/>
    <x v="923"/>
    <n v="39"/>
    <x v="1"/>
    <d v="2025-04-14T00:00:00"/>
    <d v="2025-04-22T00:00:00"/>
    <x v="2"/>
    <x v="8"/>
    <n v="2699"/>
    <x v="0"/>
    <x v="0"/>
    <s v="Nurse Allen"/>
    <x v="0"/>
    <n v="8"/>
    <s v="Extended"/>
  </r>
  <r>
    <x v="933"/>
    <x v="924"/>
    <n v="78"/>
    <x v="0"/>
    <d v="2024-07-17T00:00:00"/>
    <d v="2024-07-22T00:00:00"/>
    <x v="2"/>
    <x v="2"/>
    <n v="3196"/>
    <x v="0"/>
    <x v="6"/>
    <s v="Nurse Zoe"/>
    <x v="2"/>
    <n v="5"/>
    <s v="Extended"/>
  </r>
  <r>
    <x v="934"/>
    <x v="925"/>
    <n v="80"/>
    <x v="0"/>
    <d v="2025-03-05T00:00:00"/>
    <d v="2025-03-11T00:00:00"/>
    <x v="0"/>
    <x v="2"/>
    <n v="3734"/>
    <x v="1"/>
    <x v="6"/>
    <s v="Nurse Allen"/>
    <x v="2"/>
    <n v="6"/>
    <s v="Extended"/>
  </r>
  <r>
    <x v="935"/>
    <x v="926"/>
    <n v="54"/>
    <x v="0"/>
    <d v="2024-12-15T00:00:00"/>
    <d v="2024-12-23T00:00:00"/>
    <x v="5"/>
    <x v="5"/>
    <n v="9601"/>
    <x v="1"/>
    <x v="0"/>
    <s v="Nurse John"/>
    <x v="1"/>
    <n v="8"/>
    <s v="Extended"/>
  </r>
  <r>
    <x v="936"/>
    <x v="927"/>
    <n v="74"/>
    <x v="0"/>
    <d v="2025-03-01T00:00:00"/>
    <d v="2025-03-09T00:00:00"/>
    <x v="1"/>
    <x v="3"/>
    <n v="7902"/>
    <x v="1"/>
    <x v="6"/>
    <s v="Nurse John"/>
    <x v="2"/>
    <n v="8"/>
    <s v="Extended"/>
  </r>
  <r>
    <x v="937"/>
    <x v="928"/>
    <n v="10"/>
    <x v="1"/>
    <d v="2025-01-26T00:00:00"/>
    <d v="2025-02-09T00:00:00"/>
    <x v="5"/>
    <x v="7"/>
    <n v="8603"/>
    <x v="1"/>
    <x v="0"/>
    <s v="Nurse Kelly"/>
    <x v="1"/>
    <n v="14"/>
    <s v="Extended"/>
  </r>
  <r>
    <x v="938"/>
    <x v="929"/>
    <n v="84"/>
    <x v="1"/>
    <d v="2024-12-03T00:00:00"/>
    <d v="2024-12-13T00:00:00"/>
    <x v="5"/>
    <x v="6"/>
    <n v="6139"/>
    <x v="1"/>
    <x v="5"/>
    <s v="Nurse Zoe"/>
    <x v="2"/>
    <n v="10"/>
    <s v="Extended"/>
  </r>
  <r>
    <x v="939"/>
    <x v="930"/>
    <n v="18"/>
    <x v="1"/>
    <d v="2025-05-11T00:00:00"/>
    <d v="2025-05-17T00:00:00"/>
    <x v="0"/>
    <x v="1"/>
    <n v="4412"/>
    <x v="1"/>
    <x v="5"/>
    <s v="Nurse Rita"/>
    <x v="2"/>
    <n v="6"/>
    <s v="Extended"/>
  </r>
  <r>
    <x v="940"/>
    <x v="931"/>
    <n v="11"/>
    <x v="0"/>
    <d v="2024-08-21T00:00:00"/>
    <d v="2024-08-30T00:00:00"/>
    <x v="6"/>
    <x v="2"/>
    <n v="1155"/>
    <x v="0"/>
    <x v="3"/>
    <s v="Nurse Kelly"/>
    <x v="1"/>
    <n v="9"/>
    <s v="Extended"/>
  </r>
  <r>
    <x v="941"/>
    <x v="932"/>
    <n v="11"/>
    <x v="0"/>
    <d v="2024-07-09T00:00:00"/>
    <d v="2024-07-22T00:00:00"/>
    <x v="3"/>
    <x v="0"/>
    <n v="5504"/>
    <x v="1"/>
    <x v="4"/>
    <s v="Nurse Mia"/>
    <x v="1"/>
    <n v="13"/>
    <s v="Extended"/>
  </r>
  <r>
    <x v="942"/>
    <x v="933"/>
    <n v="69"/>
    <x v="1"/>
    <d v="2025-02-13T00:00:00"/>
    <d v="2025-02-14T00:00:00"/>
    <x v="6"/>
    <x v="3"/>
    <n v="7273"/>
    <x v="0"/>
    <x v="6"/>
    <s v="Nurse Zoe"/>
    <x v="2"/>
    <n v="1"/>
    <s v="Normal"/>
  </r>
  <r>
    <x v="943"/>
    <x v="934"/>
    <n v="67"/>
    <x v="0"/>
    <d v="2024-08-23T00:00:00"/>
    <d v="2024-08-28T00:00:00"/>
    <x v="2"/>
    <x v="9"/>
    <n v="8390"/>
    <x v="1"/>
    <x v="5"/>
    <s v="Nurse Allen"/>
    <x v="2"/>
    <n v="5"/>
    <s v="Extended"/>
  </r>
  <r>
    <x v="944"/>
    <x v="935"/>
    <n v="49"/>
    <x v="0"/>
    <d v="2025-03-04T00:00:00"/>
    <d v="2025-03-17T00:00:00"/>
    <x v="6"/>
    <x v="6"/>
    <n v="3340"/>
    <x v="0"/>
    <x v="4"/>
    <s v="Nurse Mia"/>
    <x v="1"/>
    <n v="13"/>
    <s v="Extended"/>
  </r>
  <r>
    <x v="945"/>
    <x v="936"/>
    <n v="56"/>
    <x v="0"/>
    <d v="2024-06-26T00:00:00"/>
    <d v="2024-07-05T00:00:00"/>
    <x v="3"/>
    <x v="9"/>
    <n v="8951"/>
    <x v="1"/>
    <x v="5"/>
    <s v="Nurse John"/>
    <x v="0"/>
    <n v="9"/>
    <s v="Extended"/>
  </r>
  <r>
    <x v="946"/>
    <x v="937"/>
    <n v="49"/>
    <x v="1"/>
    <d v="2024-09-17T00:00:00"/>
    <d v="2024-09-30T00:00:00"/>
    <x v="6"/>
    <x v="5"/>
    <n v="8739"/>
    <x v="1"/>
    <x v="1"/>
    <s v="Nurse Zoe"/>
    <x v="0"/>
    <n v="13"/>
    <s v="Extended"/>
  </r>
  <r>
    <x v="947"/>
    <x v="938"/>
    <n v="44"/>
    <x v="1"/>
    <d v="2025-02-17T00:00:00"/>
    <d v="2025-02-26T00:00:00"/>
    <x v="1"/>
    <x v="7"/>
    <n v="8932"/>
    <x v="1"/>
    <x v="4"/>
    <s v="Nurse Zoe"/>
    <x v="1"/>
    <n v="9"/>
    <s v="Extended"/>
  </r>
  <r>
    <x v="948"/>
    <x v="939"/>
    <n v="59"/>
    <x v="0"/>
    <d v="2025-02-01T00:00:00"/>
    <d v="2025-02-03T00:00:00"/>
    <x v="6"/>
    <x v="4"/>
    <n v="9442"/>
    <x v="0"/>
    <x v="2"/>
    <s v="Nurse Mia"/>
    <x v="1"/>
    <n v="2"/>
    <s v="Normal"/>
  </r>
  <r>
    <x v="949"/>
    <x v="940"/>
    <n v="70"/>
    <x v="0"/>
    <d v="2024-12-19T00:00:00"/>
    <d v="2024-12-23T00:00:00"/>
    <x v="5"/>
    <x v="2"/>
    <n v="1668"/>
    <x v="1"/>
    <x v="1"/>
    <s v="Nurse John"/>
    <x v="1"/>
    <n v="4"/>
    <s v="Extended"/>
  </r>
  <r>
    <x v="950"/>
    <x v="941"/>
    <n v="72"/>
    <x v="1"/>
    <d v="2025-03-11T00:00:00"/>
    <d v="2025-03-21T00:00:00"/>
    <x v="0"/>
    <x v="9"/>
    <n v="4095"/>
    <x v="0"/>
    <x v="0"/>
    <s v="Nurse Mia"/>
    <x v="2"/>
    <n v="10"/>
    <s v="Extended"/>
  </r>
  <r>
    <x v="951"/>
    <x v="942"/>
    <n v="27"/>
    <x v="1"/>
    <d v="2024-09-13T00:00:00"/>
    <d v="2024-09-20T00:00:00"/>
    <x v="6"/>
    <x v="1"/>
    <n v="8232"/>
    <x v="0"/>
    <x v="6"/>
    <s v="Nurse Zoe"/>
    <x v="2"/>
    <n v="7"/>
    <s v="Extended"/>
  </r>
  <r>
    <x v="952"/>
    <x v="943"/>
    <n v="57"/>
    <x v="1"/>
    <d v="2024-06-01T00:00:00"/>
    <d v="2024-06-09T00:00:00"/>
    <x v="5"/>
    <x v="8"/>
    <n v="4801"/>
    <x v="1"/>
    <x v="0"/>
    <s v="Nurse Kelly"/>
    <x v="1"/>
    <n v="8"/>
    <s v="Extended"/>
  </r>
  <r>
    <x v="953"/>
    <x v="944"/>
    <n v="17"/>
    <x v="0"/>
    <d v="2025-02-27T00:00:00"/>
    <d v="2025-02-28T00:00:00"/>
    <x v="5"/>
    <x v="7"/>
    <n v="5102"/>
    <x v="0"/>
    <x v="2"/>
    <s v="Nurse Lisa"/>
    <x v="2"/>
    <n v="1"/>
    <s v="Normal"/>
  </r>
  <r>
    <x v="954"/>
    <x v="945"/>
    <n v="63"/>
    <x v="1"/>
    <d v="2024-07-12T00:00:00"/>
    <d v="2024-07-25T00:00:00"/>
    <x v="5"/>
    <x v="1"/>
    <n v="1612"/>
    <x v="0"/>
    <x v="6"/>
    <s v="Nurse Rita"/>
    <x v="2"/>
    <n v="13"/>
    <s v="Extended"/>
  </r>
  <r>
    <x v="955"/>
    <x v="946"/>
    <n v="62"/>
    <x v="1"/>
    <d v="2024-08-06T00:00:00"/>
    <d v="2024-08-09T00:00:00"/>
    <x v="1"/>
    <x v="4"/>
    <n v="4319"/>
    <x v="1"/>
    <x v="4"/>
    <s v="Nurse Rita"/>
    <x v="2"/>
    <n v="3"/>
    <s v="Normal"/>
  </r>
  <r>
    <x v="956"/>
    <x v="947"/>
    <n v="13"/>
    <x v="1"/>
    <d v="2024-06-26T00:00:00"/>
    <d v="2024-07-06T00:00:00"/>
    <x v="0"/>
    <x v="2"/>
    <n v="5767"/>
    <x v="1"/>
    <x v="4"/>
    <s v="Nurse Mia"/>
    <x v="2"/>
    <n v="10"/>
    <s v="Extended"/>
  </r>
  <r>
    <x v="957"/>
    <x v="948"/>
    <n v="11"/>
    <x v="0"/>
    <d v="2024-08-09T00:00:00"/>
    <d v="2024-08-17T00:00:00"/>
    <x v="2"/>
    <x v="5"/>
    <n v="9219"/>
    <x v="0"/>
    <x v="1"/>
    <s v="Nurse Allen"/>
    <x v="1"/>
    <n v="8"/>
    <s v="Extended"/>
  </r>
  <r>
    <x v="958"/>
    <x v="949"/>
    <n v="32"/>
    <x v="0"/>
    <d v="2024-08-11T00:00:00"/>
    <d v="2024-08-25T00:00:00"/>
    <x v="4"/>
    <x v="2"/>
    <n v="7024"/>
    <x v="1"/>
    <x v="6"/>
    <s v="Nurse Rita"/>
    <x v="2"/>
    <n v="14"/>
    <s v="Extended"/>
  </r>
  <r>
    <x v="959"/>
    <x v="950"/>
    <n v="41"/>
    <x v="0"/>
    <d v="2025-01-27T00:00:00"/>
    <d v="2025-01-31T00:00:00"/>
    <x v="0"/>
    <x v="3"/>
    <n v="9542"/>
    <x v="1"/>
    <x v="6"/>
    <s v="Nurse Zoe"/>
    <x v="0"/>
    <n v="4"/>
    <s v="Extended"/>
  </r>
  <r>
    <x v="960"/>
    <x v="951"/>
    <n v="21"/>
    <x v="1"/>
    <d v="2024-11-21T00:00:00"/>
    <d v="2024-12-03T00:00:00"/>
    <x v="6"/>
    <x v="7"/>
    <n v="1597"/>
    <x v="0"/>
    <x v="4"/>
    <s v="Nurse Zoe"/>
    <x v="0"/>
    <n v="12"/>
    <s v="Extended"/>
  </r>
  <r>
    <x v="961"/>
    <x v="952"/>
    <n v="13"/>
    <x v="1"/>
    <d v="2024-12-31T00:00:00"/>
    <d v="2025-01-14T00:00:00"/>
    <x v="3"/>
    <x v="8"/>
    <n v="7942"/>
    <x v="1"/>
    <x v="6"/>
    <s v="Nurse Lisa"/>
    <x v="2"/>
    <n v="14"/>
    <s v="Extended"/>
  </r>
  <r>
    <x v="962"/>
    <x v="953"/>
    <n v="4"/>
    <x v="1"/>
    <d v="2024-09-24T00:00:00"/>
    <d v="2024-09-30T00:00:00"/>
    <x v="1"/>
    <x v="3"/>
    <n v="6880"/>
    <x v="1"/>
    <x v="1"/>
    <s v="Nurse Kelly"/>
    <x v="0"/>
    <n v="6"/>
    <s v="Extended"/>
  </r>
  <r>
    <x v="963"/>
    <x v="954"/>
    <n v="68"/>
    <x v="1"/>
    <d v="2024-09-06T00:00:00"/>
    <d v="2024-09-12T00:00:00"/>
    <x v="6"/>
    <x v="8"/>
    <n v="5681"/>
    <x v="1"/>
    <x v="5"/>
    <s v="Nurse Mia"/>
    <x v="0"/>
    <n v="6"/>
    <s v="Extended"/>
  </r>
  <r>
    <x v="964"/>
    <x v="955"/>
    <n v="30"/>
    <x v="0"/>
    <d v="2025-01-09T00:00:00"/>
    <d v="2025-01-21T00:00:00"/>
    <x v="3"/>
    <x v="4"/>
    <n v="2356"/>
    <x v="0"/>
    <x v="4"/>
    <s v="Nurse Zoe"/>
    <x v="1"/>
    <n v="12"/>
    <s v="Extended"/>
  </r>
  <r>
    <x v="965"/>
    <x v="956"/>
    <n v="85"/>
    <x v="1"/>
    <d v="2024-12-04T00:00:00"/>
    <d v="2024-12-05T00:00:00"/>
    <x v="1"/>
    <x v="6"/>
    <n v="1834"/>
    <x v="1"/>
    <x v="2"/>
    <s v="Nurse Kelly"/>
    <x v="0"/>
    <n v="1"/>
    <s v="Normal"/>
  </r>
  <r>
    <x v="966"/>
    <x v="957"/>
    <n v="8"/>
    <x v="0"/>
    <d v="2025-03-03T00:00:00"/>
    <d v="2025-03-05T00:00:00"/>
    <x v="0"/>
    <x v="7"/>
    <n v="8434"/>
    <x v="0"/>
    <x v="6"/>
    <s v="Nurse Lisa"/>
    <x v="1"/>
    <n v="2"/>
    <s v="Normal"/>
  </r>
  <r>
    <x v="967"/>
    <x v="958"/>
    <n v="64"/>
    <x v="0"/>
    <d v="2025-04-29T00:00:00"/>
    <d v="2025-05-12T00:00:00"/>
    <x v="5"/>
    <x v="0"/>
    <n v="1161"/>
    <x v="0"/>
    <x v="0"/>
    <s v="Nurse John"/>
    <x v="0"/>
    <n v="13"/>
    <s v="Extended"/>
  </r>
  <r>
    <x v="968"/>
    <x v="959"/>
    <n v="84"/>
    <x v="1"/>
    <d v="2024-10-12T00:00:00"/>
    <d v="2024-10-21T00:00:00"/>
    <x v="3"/>
    <x v="9"/>
    <n v="4734"/>
    <x v="1"/>
    <x v="4"/>
    <s v="Nurse Allen"/>
    <x v="0"/>
    <n v="9"/>
    <s v="Extended"/>
  </r>
  <r>
    <x v="969"/>
    <x v="960"/>
    <n v="56"/>
    <x v="1"/>
    <d v="2024-12-07T00:00:00"/>
    <d v="2024-12-20T00:00:00"/>
    <x v="6"/>
    <x v="7"/>
    <n v="6358"/>
    <x v="1"/>
    <x v="4"/>
    <s v="Nurse John"/>
    <x v="1"/>
    <n v="13"/>
    <s v="Extended"/>
  </r>
  <r>
    <x v="970"/>
    <x v="961"/>
    <n v="21"/>
    <x v="1"/>
    <d v="2024-08-08T00:00:00"/>
    <d v="2024-08-11T00:00:00"/>
    <x v="1"/>
    <x v="7"/>
    <n v="9425"/>
    <x v="0"/>
    <x v="6"/>
    <s v="Nurse Rita"/>
    <x v="1"/>
    <n v="3"/>
    <s v="Normal"/>
  </r>
  <r>
    <x v="971"/>
    <x v="962"/>
    <n v="4"/>
    <x v="1"/>
    <d v="2025-04-08T00:00:00"/>
    <d v="2025-04-16T00:00:00"/>
    <x v="2"/>
    <x v="7"/>
    <n v="8871"/>
    <x v="1"/>
    <x v="4"/>
    <s v="Nurse Mia"/>
    <x v="0"/>
    <n v="8"/>
    <s v="Extended"/>
  </r>
  <r>
    <x v="972"/>
    <x v="963"/>
    <n v="76"/>
    <x v="0"/>
    <d v="2024-11-30T00:00:00"/>
    <d v="2024-12-05T00:00:00"/>
    <x v="6"/>
    <x v="5"/>
    <n v="5039"/>
    <x v="0"/>
    <x v="2"/>
    <s v="Nurse Rita"/>
    <x v="0"/>
    <n v="5"/>
    <s v="Extended"/>
  </r>
  <r>
    <x v="973"/>
    <x v="964"/>
    <n v="90"/>
    <x v="0"/>
    <d v="2024-07-08T00:00:00"/>
    <d v="2024-07-14T00:00:00"/>
    <x v="6"/>
    <x v="2"/>
    <n v="1313"/>
    <x v="0"/>
    <x v="5"/>
    <s v="Nurse Kelly"/>
    <x v="0"/>
    <n v="6"/>
    <s v="Extended"/>
  </r>
  <r>
    <x v="974"/>
    <x v="965"/>
    <n v="17"/>
    <x v="0"/>
    <d v="2025-03-08T00:00:00"/>
    <d v="2025-03-18T00:00:00"/>
    <x v="1"/>
    <x v="0"/>
    <n v="2028"/>
    <x v="1"/>
    <x v="5"/>
    <s v="Nurse John"/>
    <x v="0"/>
    <n v="10"/>
    <s v="Extended"/>
  </r>
  <r>
    <x v="975"/>
    <x v="966"/>
    <n v="18"/>
    <x v="1"/>
    <d v="2025-04-04T00:00:00"/>
    <d v="2025-04-10T00:00:00"/>
    <x v="5"/>
    <x v="5"/>
    <n v="6527"/>
    <x v="1"/>
    <x v="1"/>
    <s v="Nurse Rita"/>
    <x v="0"/>
    <n v="6"/>
    <s v="Extended"/>
  </r>
  <r>
    <x v="976"/>
    <x v="967"/>
    <n v="68"/>
    <x v="0"/>
    <d v="2024-08-29T00:00:00"/>
    <d v="2024-09-08T00:00:00"/>
    <x v="2"/>
    <x v="8"/>
    <n v="4600"/>
    <x v="0"/>
    <x v="1"/>
    <s v="Nurse Allen"/>
    <x v="1"/>
    <n v="10"/>
    <s v="Extended"/>
  </r>
  <r>
    <x v="977"/>
    <x v="968"/>
    <n v="22"/>
    <x v="0"/>
    <d v="2025-03-15T00:00:00"/>
    <d v="2025-03-24T00:00:00"/>
    <x v="5"/>
    <x v="1"/>
    <n v="2744"/>
    <x v="0"/>
    <x v="3"/>
    <s v="Nurse Mia"/>
    <x v="2"/>
    <n v="9"/>
    <s v="Extended"/>
  </r>
  <r>
    <x v="978"/>
    <x v="969"/>
    <n v="3"/>
    <x v="0"/>
    <d v="2025-02-06T00:00:00"/>
    <d v="2025-02-08T00:00:00"/>
    <x v="3"/>
    <x v="4"/>
    <n v="7252"/>
    <x v="0"/>
    <x v="2"/>
    <s v="Nurse Kelly"/>
    <x v="2"/>
    <n v="2"/>
    <s v="Normal"/>
  </r>
  <r>
    <x v="979"/>
    <x v="970"/>
    <n v="30"/>
    <x v="1"/>
    <d v="2025-04-07T00:00:00"/>
    <d v="2025-04-16T00:00:00"/>
    <x v="5"/>
    <x v="6"/>
    <n v="1419"/>
    <x v="1"/>
    <x v="3"/>
    <s v="Nurse Kelly"/>
    <x v="1"/>
    <n v="9"/>
    <s v="Extended"/>
  </r>
  <r>
    <x v="980"/>
    <x v="971"/>
    <n v="14"/>
    <x v="0"/>
    <d v="2025-05-03T00:00:00"/>
    <d v="2025-05-17T00:00:00"/>
    <x v="4"/>
    <x v="4"/>
    <n v="7120"/>
    <x v="1"/>
    <x v="3"/>
    <s v="Nurse Zoe"/>
    <x v="1"/>
    <n v="14"/>
    <s v="Extended"/>
  </r>
  <r>
    <x v="981"/>
    <x v="972"/>
    <n v="10"/>
    <x v="0"/>
    <d v="2025-01-12T00:00:00"/>
    <d v="2025-01-26T00:00:00"/>
    <x v="3"/>
    <x v="0"/>
    <n v="5006"/>
    <x v="1"/>
    <x v="1"/>
    <s v="Nurse Mia"/>
    <x v="2"/>
    <n v="14"/>
    <s v="Extended"/>
  </r>
  <r>
    <x v="982"/>
    <x v="973"/>
    <n v="65"/>
    <x v="0"/>
    <d v="2024-09-22T00:00:00"/>
    <d v="2024-10-01T00:00:00"/>
    <x v="4"/>
    <x v="8"/>
    <n v="3909"/>
    <x v="1"/>
    <x v="4"/>
    <s v="Nurse Mia"/>
    <x v="0"/>
    <n v="9"/>
    <s v="Extended"/>
  </r>
  <r>
    <x v="983"/>
    <x v="974"/>
    <n v="73"/>
    <x v="0"/>
    <d v="2025-05-10T00:00:00"/>
    <d v="2025-05-20T00:00:00"/>
    <x v="2"/>
    <x v="3"/>
    <n v="5203"/>
    <x v="0"/>
    <x v="1"/>
    <s v="Nurse John"/>
    <x v="0"/>
    <n v="10"/>
    <s v="Extended"/>
  </r>
  <r>
    <x v="984"/>
    <x v="975"/>
    <n v="18"/>
    <x v="0"/>
    <d v="2024-06-04T00:00:00"/>
    <d v="2024-06-08T00:00:00"/>
    <x v="1"/>
    <x v="6"/>
    <n v="4135"/>
    <x v="0"/>
    <x v="1"/>
    <s v="Nurse Lisa"/>
    <x v="0"/>
    <n v="4"/>
    <s v="Extended"/>
  </r>
  <r>
    <x v="985"/>
    <x v="976"/>
    <n v="28"/>
    <x v="0"/>
    <d v="2025-04-27T00:00:00"/>
    <d v="2025-05-06T00:00:00"/>
    <x v="1"/>
    <x v="0"/>
    <n v="5053"/>
    <x v="0"/>
    <x v="1"/>
    <s v="Nurse John"/>
    <x v="2"/>
    <n v="9"/>
    <s v="Extended"/>
  </r>
  <r>
    <x v="986"/>
    <x v="977"/>
    <n v="8"/>
    <x v="0"/>
    <d v="2025-02-01T00:00:00"/>
    <d v="2025-02-09T00:00:00"/>
    <x v="1"/>
    <x v="0"/>
    <n v="3539"/>
    <x v="0"/>
    <x v="1"/>
    <s v="Nurse Mia"/>
    <x v="2"/>
    <n v="8"/>
    <s v="Extended"/>
  </r>
  <r>
    <x v="987"/>
    <x v="978"/>
    <n v="8"/>
    <x v="0"/>
    <d v="2025-04-27T00:00:00"/>
    <d v="2025-04-30T00:00:00"/>
    <x v="6"/>
    <x v="3"/>
    <n v="4824"/>
    <x v="1"/>
    <x v="2"/>
    <s v="Nurse Kelly"/>
    <x v="1"/>
    <n v="3"/>
    <s v="Normal"/>
  </r>
  <r>
    <x v="988"/>
    <x v="979"/>
    <n v="4"/>
    <x v="1"/>
    <d v="2025-01-05T00:00:00"/>
    <d v="2025-01-19T00:00:00"/>
    <x v="0"/>
    <x v="5"/>
    <n v="9750"/>
    <x v="0"/>
    <x v="4"/>
    <s v="Nurse Mia"/>
    <x v="0"/>
    <n v="14"/>
    <s v="Extended"/>
  </r>
  <r>
    <x v="989"/>
    <x v="980"/>
    <n v="52"/>
    <x v="0"/>
    <d v="2024-05-30T00:00:00"/>
    <d v="2024-05-31T00:00:00"/>
    <x v="1"/>
    <x v="8"/>
    <n v="3249"/>
    <x v="0"/>
    <x v="6"/>
    <s v="Nurse Mia"/>
    <x v="1"/>
    <n v="1"/>
    <s v="Normal"/>
  </r>
  <r>
    <x v="990"/>
    <x v="981"/>
    <n v="80"/>
    <x v="1"/>
    <d v="2025-05-29T00:00:00"/>
    <d v="2025-05-31T00:00:00"/>
    <x v="1"/>
    <x v="3"/>
    <n v="6764"/>
    <x v="0"/>
    <x v="0"/>
    <s v="Nurse Kelly"/>
    <x v="1"/>
    <n v="2"/>
    <s v="Normal"/>
  </r>
  <r>
    <x v="991"/>
    <x v="982"/>
    <n v="48"/>
    <x v="0"/>
    <d v="2024-11-22T00:00:00"/>
    <d v="2024-11-23T00:00:00"/>
    <x v="0"/>
    <x v="4"/>
    <n v="5546"/>
    <x v="1"/>
    <x v="1"/>
    <s v="Nurse Zoe"/>
    <x v="2"/>
    <n v="1"/>
    <s v="Normal"/>
  </r>
  <r>
    <x v="992"/>
    <x v="983"/>
    <n v="1"/>
    <x v="0"/>
    <d v="2024-11-07T00:00:00"/>
    <d v="2024-11-16T00:00:00"/>
    <x v="0"/>
    <x v="4"/>
    <n v="2180"/>
    <x v="0"/>
    <x v="1"/>
    <s v="Nurse Lisa"/>
    <x v="2"/>
    <n v="9"/>
    <s v="Extended"/>
  </r>
  <r>
    <x v="993"/>
    <x v="984"/>
    <n v="65"/>
    <x v="1"/>
    <d v="2024-08-04T00:00:00"/>
    <d v="2024-08-06T00:00:00"/>
    <x v="1"/>
    <x v="9"/>
    <n v="6713"/>
    <x v="0"/>
    <x v="4"/>
    <s v="Nurse Zoe"/>
    <x v="2"/>
    <n v="2"/>
    <s v="Normal"/>
  </r>
  <r>
    <x v="994"/>
    <x v="985"/>
    <n v="38"/>
    <x v="0"/>
    <d v="2024-11-29T00:00:00"/>
    <d v="2024-12-04T00:00:00"/>
    <x v="3"/>
    <x v="6"/>
    <n v="6953"/>
    <x v="1"/>
    <x v="0"/>
    <s v="Nurse Zoe"/>
    <x v="2"/>
    <n v="5"/>
    <s v="Extended"/>
  </r>
  <r>
    <x v="995"/>
    <x v="986"/>
    <n v="59"/>
    <x v="0"/>
    <d v="2025-03-23T00:00:00"/>
    <d v="2025-03-30T00:00:00"/>
    <x v="3"/>
    <x v="0"/>
    <n v="9413"/>
    <x v="0"/>
    <x v="0"/>
    <s v="Nurse Allen"/>
    <x v="1"/>
    <n v="7"/>
    <s v="Extended"/>
  </r>
  <r>
    <x v="996"/>
    <x v="987"/>
    <n v="2"/>
    <x v="1"/>
    <d v="2024-08-19T00:00:00"/>
    <d v="2024-08-23T00:00:00"/>
    <x v="3"/>
    <x v="5"/>
    <n v="6790"/>
    <x v="1"/>
    <x v="6"/>
    <s v="Nurse Mia"/>
    <x v="1"/>
    <n v="4"/>
    <s v="Extended"/>
  </r>
  <r>
    <x v="997"/>
    <x v="988"/>
    <n v="29"/>
    <x v="0"/>
    <d v="2024-11-04T00:00:00"/>
    <d v="2024-11-06T00:00:00"/>
    <x v="5"/>
    <x v="5"/>
    <n v="3040"/>
    <x v="0"/>
    <x v="4"/>
    <s v="Nurse Mia"/>
    <x v="2"/>
    <n v="2"/>
    <s v="Normal"/>
  </r>
  <r>
    <x v="998"/>
    <x v="989"/>
    <n v="31"/>
    <x v="0"/>
    <d v="2025-02-05T00:00:00"/>
    <d v="2025-02-18T00:00:00"/>
    <x v="1"/>
    <x v="5"/>
    <n v="9285"/>
    <x v="1"/>
    <x v="6"/>
    <s v="Nurse Lisa"/>
    <x v="1"/>
    <n v="13"/>
    <s v="Extended"/>
  </r>
  <r>
    <x v="999"/>
    <x v="990"/>
    <n v="30"/>
    <x v="1"/>
    <d v="2025-03-11T00:00:00"/>
    <d v="2025-03-22T00:00:00"/>
    <x v="4"/>
    <x v="6"/>
    <n v="1636"/>
    <x v="1"/>
    <x v="3"/>
    <s v="Nurse Kelly"/>
    <x v="1"/>
    <n v="11"/>
    <s v="Extend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2F60C7-E7DB-4859-BF4E-FBFC55B8DEB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26" firstHeaderRow="1" firstDataRow="1" firstDataCol="1"/>
  <pivotFields count="15">
    <pivotField showAll="0"/>
    <pivotField showAll="0"/>
    <pivotField showAll="0"/>
    <pivotField showAll="0">
      <items count="3">
        <item x="0"/>
        <item x="1"/>
        <item t="default"/>
      </items>
    </pivotField>
    <pivotField numFmtId="14" showAll="0"/>
    <pivotField numFmtId="14" showAll="0"/>
    <pivotField showAll="0">
      <items count="8">
        <item x="3"/>
        <item x="5"/>
        <item x="4"/>
        <item x="6"/>
        <item x="1"/>
        <item x="2"/>
        <item x="0"/>
        <item t="default"/>
      </items>
    </pivotField>
    <pivotField showAll="0">
      <items count="11">
        <item x="3"/>
        <item x="9"/>
        <item x="2"/>
        <item x="8"/>
        <item x="4"/>
        <item x="1"/>
        <item x="5"/>
        <item x="7"/>
        <item x="0"/>
        <item x="6"/>
        <item t="default"/>
      </items>
    </pivotField>
    <pivotField dataField="1" showAll="0"/>
    <pivotField showAll="0"/>
    <pivotField axis="axisRow" showAll="0">
      <items count="8">
        <item x="5"/>
        <item x="4"/>
        <item x="6"/>
        <item x="0"/>
        <item x="2"/>
        <item x="3"/>
        <item x="1"/>
        <item t="default"/>
      </items>
    </pivotField>
    <pivotField showAll="0"/>
    <pivotField showAll="0">
      <items count="4">
        <item x="2"/>
        <item x="1"/>
        <item x="0"/>
        <item t="default"/>
      </items>
    </pivotField>
    <pivotField showAll="0"/>
    <pivotField showAll="0"/>
  </pivotFields>
  <rowFields count="1">
    <field x="10"/>
  </rowFields>
  <rowItems count="8">
    <i>
      <x/>
    </i>
    <i>
      <x v="1"/>
    </i>
    <i>
      <x v="2"/>
    </i>
    <i>
      <x v="3"/>
    </i>
    <i>
      <x v="4"/>
    </i>
    <i>
      <x v="5"/>
    </i>
    <i>
      <x v="6"/>
    </i>
    <i t="grand">
      <x/>
    </i>
  </rowItems>
  <colItems count="1">
    <i/>
  </colItems>
  <dataFields count="1">
    <dataField name="Sum of Treatment Cost" fld="8" baseField="0"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9D3412-A3EF-4479-84AF-9620ADE23C38}"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B35" firstHeaderRow="1" firstDataRow="1" firstDataCol="1"/>
  <pivotFields count="15">
    <pivotField showAll="0"/>
    <pivotField showAll="0"/>
    <pivotField showAll="0"/>
    <pivotField showAll="0">
      <items count="3">
        <item x="0"/>
        <item x="1"/>
        <item t="default"/>
      </items>
    </pivotField>
    <pivotField numFmtId="14" showAll="0"/>
    <pivotField numFmtId="14" showAll="0"/>
    <pivotField showAll="0">
      <items count="8">
        <item x="3"/>
        <item x="5"/>
        <item x="4"/>
        <item x="6"/>
        <item x="1"/>
        <item x="2"/>
        <item x="0"/>
        <item t="default"/>
      </items>
    </pivotField>
    <pivotField showAll="0"/>
    <pivotField showAll="0"/>
    <pivotField showAll="0"/>
    <pivotField showAll="0"/>
    <pivotField showAll="0"/>
    <pivotField axis="axisRow" showAll="0">
      <items count="4">
        <item x="2"/>
        <item x="1"/>
        <item x="0"/>
        <item t="default"/>
      </items>
    </pivotField>
    <pivotField dataField="1" showAll="0"/>
    <pivotField showAll="0"/>
  </pivotFields>
  <rowFields count="1">
    <field x="12"/>
  </rowFields>
  <rowItems count="4">
    <i>
      <x/>
    </i>
    <i>
      <x v="1"/>
    </i>
    <i>
      <x v="2"/>
    </i>
    <i t="grand">
      <x/>
    </i>
  </rowItems>
  <colItems count="1">
    <i/>
  </colItems>
  <dataFields count="1">
    <dataField name="Average of Length of Stay (Days)" fld="13" subtotal="average" baseField="12" baseItem="0"/>
  </dataFields>
  <chartFormats count="8">
    <chartFormat chart="3"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2" count="1" selected="0">
            <x v="0"/>
          </reference>
        </references>
      </pivotArea>
    </chartFormat>
    <chartFormat chart="8" format="7">
      <pivotArea type="data" outline="0" fieldPosition="0">
        <references count="2">
          <reference field="4294967294" count="1" selected="0">
            <x v="0"/>
          </reference>
          <reference field="12" count="1" selected="0">
            <x v="1"/>
          </reference>
        </references>
      </pivotArea>
    </chartFormat>
    <chartFormat chart="8" format="8">
      <pivotArea type="data" outline="0" fieldPosition="0">
        <references count="2">
          <reference field="4294967294" count="1" selected="0">
            <x v="0"/>
          </reference>
          <reference field="12" count="1" selected="0">
            <x v="2"/>
          </reference>
        </references>
      </pivotArea>
    </chartFormat>
    <chartFormat chart="3" format="1">
      <pivotArea type="data" outline="0" fieldPosition="0">
        <references count="2">
          <reference field="4294967294" count="1" selected="0">
            <x v="0"/>
          </reference>
          <reference field="12" count="1" selected="0">
            <x v="0"/>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 chart="3"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B27DDD-22FA-48B2-91F3-DF8546F028AA}"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6:P57" firstHeaderRow="0" firstDataRow="1" firstDataCol="1"/>
  <pivotFields count="15">
    <pivotField showAll="0"/>
    <pivotField showAll="0"/>
    <pivotField showAll="0"/>
    <pivotField showAll="0">
      <items count="3">
        <item x="0"/>
        <item x="1"/>
        <item t="default"/>
      </items>
    </pivotField>
    <pivotField numFmtId="14" showAll="0"/>
    <pivotField numFmtId="14" showAll="0"/>
    <pivotField showAll="0">
      <items count="8">
        <item x="3"/>
        <item x="5"/>
        <item x="4"/>
        <item x="6"/>
        <item x="1"/>
        <item x="2"/>
        <item x="0"/>
        <item t="default"/>
      </items>
    </pivotField>
    <pivotField axis="axisRow" showAll="0">
      <items count="11">
        <item x="3"/>
        <item x="9"/>
        <item x="2"/>
        <item x="8"/>
        <item x="4"/>
        <item x="1"/>
        <item x="5"/>
        <item x="7"/>
        <item x="0"/>
        <item x="6"/>
        <item t="default"/>
      </items>
    </pivotField>
    <pivotField dataField="1" showAll="0"/>
    <pivotField dataField="1" showAll="0">
      <items count="3">
        <item x="1"/>
        <item x="0"/>
        <item t="default"/>
      </items>
    </pivotField>
    <pivotField showAll="0"/>
    <pivotField showAll="0"/>
    <pivotField showAll="0">
      <items count="4">
        <item x="2"/>
        <item x="1"/>
        <item x="0"/>
        <item t="default"/>
      </items>
    </pivotField>
    <pivotField showAll="0"/>
    <pivotField showAl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Treatment Cost" fld="8" baseField="0" baseItem="0"/>
    <dataField name="Count of Billing Status" fld="9" subtotal="count" baseField="0" baseItem="0"/>
  </dataFields>
  <formats count="6">
    <format dxfId="112">
      <pivotArea type="all" dataOnly="0" outline="0" fieldPosition="0"/>
    </format>
    <format dxfId="111">
      <pivotArea outline="0" collapsedLevelsAreSubtotals="1" fieldPosition="0"/>
    </format>
    <format dxfId="110">
      <pivotArea field="7" type="button" dataOnly="0" labelOnly="1" outline="0" axis="axisRow" fieldPosition="0"/>
    </format>
    <format dxfId="109">
      <pivotArea dataOnly="0" labelOnly="1" fieldPosition="0">
        <references count="1">
          <reference field="7" count="0"/>
        </references>
      </pivotArea>
    </format>
    <format dxfId="108">
      <pivotArea dataOnly="0" labelOnly="1" grandRow="1" outline="0" fieldPosition="0"/>
    </format>
    <format dxfId="107">
      <pivotArea dataOnly="0" labelOnly="1" outline="0" fieldPosition="0">
        <references count="1">
          <reference field="4294967294" count="2">
            <x v="0"/>
            <x v="1"/>
          </reference>
        </references>
      </pivotArea>
    </format>
  </formats>
  <conditionalFormats count="4">
    <conditionalFormat priority="1">
      <pivotAreas count="1">
        <pivotArea type="data" collapsedLevelsAreSubtotals="1" fieldPosition="0">
          <references count="2">
            <reference field="4294967294" count="1" selected="0">
              <x v="1"/>
            </reference>
            <reference field="7" count="10">
              <x v="0"/>
              <x v="1"/>
              <x v="2"/>
              <x v="3"/>
              <x v="4"/>
              <x v="5"/>
              <x v="6"/>
              <x v="7"/>
              <x v="8"/>
              <x v="9"/>
            </reference>
          </references>
        </pivotArea>
      </pivotAreas>
    </conditionalFormat>
    <conditionalFormat type="all" priority="2">
      <pivotAreas count="1">
        <pivotArea type="data" collapsedLevelsAreSubtotals="1" fieldPosition="0">
          <references count="2">
            <reference field="4294967294" count="1" selected="0">
              <x v="1"/>
            </reference>
            <reference field="7" count="10">
              <x v="0"/>
              <x v="1"/>
              <x v="2"/>
              <x v="3"/>
              <x v="4"/>
              <x v="5"/>
              <x v="6"/>
              <x v="7"/>
              <x v="8"/>
              <x v="9"/>
            </reference>
          </references>
        </pivotArea>
      </pivotAreas>
    </conditionalFormat>
    <conditionalFormat priority="3">
      <pivotAreas count="1">
        <pivotArea type="data" collapsedLevelsAreSubtotals="1" fieldPosition="0">
          <references count="2">
            <reference field="4294967294" count="1" selected="0">
              <x v="0"/>
            </reference>
            <reference field="7" count="10">
              <x v="0"/>
              <x v="1"/>
              <x v="2"/>
              <x v="3"/>
              <x v="4"/>
              <x v="5"/>
              <x v="6"/>
              <x v="7"/>
              <x v="8"/>
              <x v="9"/>
            </reference>
          </references>
        </pivotArea>
      </pivotAreas>
    </conditionalFormat>
    <conditionalFormat type="all" priority="4">
      <pivotAreas count="1">
        <pivotArea type="data" collapsedLevelsAreSubtotals="1" fieldPosition="0">
          <references count="2">
            <reference field="4294967294" count="1" selected="0">
              <x v="0"/>
            </reference>
            <reference field="7" count="10">
              <x v="0"/>
              <x v="1"/>
              <x v="2"/>
              <x v="3"/>
              <x v="4"/>
              <x v="5"/>
              <x v="6"/>
              <x v="7"/>
              <x v="8"/>
              <x v="9"/>
            </reference>
          </references>
        </pivotArea>
      </pivotAreas>
    </conditionalFormat>
  </conditional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759864-5DAD-4616-8061-69DA6854570A}"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M3:N7" firstHeaderRow="1" firstDataRow="1" firstDataCol="1"/>
  <pivotFields count="15">
    <pivotField showAll="0"/>
    <pivotField dataField="1" showAll="0">
      <items count="992">
        <item x="209"/>
        <item x="76"/>
        <item x="827"/>
        <item x="374"/>
        <item x="975"/>
        <item x="171"/>
        <item x="607"/>
        <item x="144"/>
        <item x="504"/>
        <item x="339"/>
        <item x="10"/>
        <item x="186"/>
        <item x="881"/>
        <item x="426"/>
        <item x="763"/>
        <item x="185"/>
        <item x="27"/>
        <item x="537"/>
        <item x="864"/>
        <item x="244"/>
        <item x="159"/>
        <item x="611"/>
        <item x="261"/>
        <item x="348"/>
        <item x="681"/>
        <item x="629"/>
        <item x="911"/>
        <item x="609"/>
        <item x="923"/>
        <item x="269"/>
        <item x="34"/>
        <item x="836"/>
        <item x="204"/>
        <item x="12"/>
        <item x="754"/>
        <item x="917"/>
        <item x="168"/>
        <item x="239"/>
        <item x="425"/>
        <item x="420"/>
        <item x="314"/>
        <item x="586"/>
        <item x="824"/>
        <item x="255"/>
        <item x="218"/>
        <item x="365"/>
        <item x="229"/>
        <item x="416"/>
        <item x="952"/>
        <item x="682"/>
        <item x="476"/>
        <item x="235"/>
        <item x="174"/>
        <item x="621"/>
        <item x="654"/>
        <item x="18"/>
        <item x="49"/>
        <item x="148"/>
        <item x="146"/>
        <item x="132"/>
        <item x="600"/>
        <item x="874"/>
        <item x="208"/>
        <item x="249"/>
        <item x="936"/>
        <item x="550"/>
        <item x="335"/>
        <item x="147"/>
        <item x="882"/>
        <item x="964"/>
        <item x="646"/>
        <item x="111"/>
        <item x="477"/>
        <item x="786"/>
        <item x="751"/>
        <item x="852"/>
        <item x="321"/>
        <item x="574"/>
        <item x="662"/>
        <item x="924"/>
        <item x="353"/>
        <item x="106"/>
        <item x="338"/>
        <item x="755"/>
        <item x="344"/>
        <item x="156"/>
        <item x="137"/>
        <item x="394"/>
        <item x="396"/>
        <item x="173"/>
        <item x="986"/>
        <item x="889"/>
        <item x="341"/>
        <item x="531"/>
        <item x="743"/>
        <item x="73"/>
        <item x="37"/>
        <item x="585"/>
        <item x="225"/>
        <item x="712"/>
        <item x="260"/>
        <item x="375"/>
        <item x="413"/>
        <item x="154"/>
        <item x="484"/>
        <item x="770"/>
        <item x="298"/>
        <item x="707"/>
        <item x="578"/>
        <item x="134"/>
        <item x="771"/>
        <item x="188"/>
        <item x="449"/>
        <item x="182"/>
        <item x="333"/>
        <item x="367"/>
        <item x="215"/>
        <item x="678"/>
        <item x="189"/>
        <item x="65"/>
        <item x="549"/>
        <item x="985"/>
        <item x="533"/>
        <item x="500"/>
        <item x="597"/>
        <item x="158"/>
        <item x="908"/>
        <item x="914"/>
        <item x="414"/>
        <item x="175"/>
        <item x="973"/>
        <item x="672"/>
        <item x="842"/>
        <item x="226"/>
        <item x="228"/>
        <item x="266"/>
        <item x="468"/>
        <item x="818"/>
        <item x="519"/>
        <item x="309"/>
        <item x="489"/>
        <item x="758"/>
        <item x="465"/>
        <item x="75"/>
        <item x="704"/>
        <item x="658"/>
        <item x="851"/>
        <item x="650"/>
        <item x="448"/>
        <item x="546"/>
        <item x="478"/>
        <item x="457"/>
        <item x="371"/>
        <item x="794"/>
        <item x="790"/>
        <item x="287"/>
        <item x="761"/>
        <item x="43"/>
        <item x="14"/>
        <item x="304"/>
        <item x="405"/>
        <item x="571"/>
        <item x="93"/>
        <item x="494"/>
        <item x="668"/>
        <item x="885"/>
        <item x="938"/>
        <item x="732"/>
        <item x="194"/>
        <item x="0"/>
        <item x="155"/>
        <item x="965"/>
        <item x="559"/>
        <item x="883"/>
        <item x="79"/>
        <item x="867"/>
        <item x="236"/>
        <item x="980"/>
        <item x="320"/>
        <item x="24"/>
        <item x="275"/>
        <item x="575"/>
        <item x="322"/>
        <item x="435"/>
        <item x="273"/>
        <item x="136"/>
        <item x="810"/>
        <item x="608"/>
        <item x="648"/>
        <item x="354"/>
        <item x="700"/>
        <item x="129"/>
        <item x="88"/>
        <item x="402"/>
        <item x="805"/>
        <item x="688"/>
        <item x="583"/>
        <item x="336"/>
        <item x="439"/>
        <item x="828"/>
        <item x="791"/>
        <item x="9"/>
        <item x="82"/>
        <item x="311"/>
        <item x="703"/>
        <item x="593"/>
        <item x="364"/>
        <item x="638"/>
        <item x="687"/>
        <item x="960"/>
        <item x="100"/>
        <item x="947"/>
        <item x="622"/>
        <item x="894"/>
        <item x="693"/>
        <item x="400"/>
        <item x="529"/>
        <item x="860"/>
        <item x="902"/>
        <item x="493"/>
        <item x="728"/>
        <item x="480"/>
        <item x="949"/>
        <item x="740"/>
        <item x="831"/>
        <item x="670"/>
        <item x="804"/>
        <item x="343"/>
        <item x="345"/>
        <item x="919"/>
        <item x="135"/>
        <item x="708"/>
        <item x="748"/>
        <item x="127"/>
        <item x="900"/>
        <item x="141"/>
        <item x="380"/>
        <item x="143"/>
        <item x="277"/>
        <item x="869"/>
        <item x="850"/>
        <item x="726"/>
        <item x="179"/>
        <item x="267"/>
        <item x="265"/>
        <item x="222"/>
        <item x="918"/>
        <item x="246"/>
        <item x="356"/>
        <item x="325"/>
        <item x="97"/>
        <item x="501"/>
        <item x="554"/>
        <item x="721"/>
        <item x="350"/>
        <item x="105"/>
        <item x="582"/>
        <item x="723"/>
        <item x="692"/>
        <item x="99"/>
        <item x="683"/>
        <item x="875"/>
        <item x="77"/>
        <item x="41"/>
        <item x="588"/>
        <item x="35"/>
        <item x="959"/>
        <item x="33"/>
        <item x="193"/>
        <item x="231"/>
        <item x="385"/>
        <item x="562"/>
        <item x="470"/>
        <item x="206"/>
        <item x="13"/>
        <item x="933"/>
        <item x="675"/>
        <item x="892"/>
        <item x="719"/>
        <item x="101"/>
        <item x="773"/>
        <item x="378"/>
        <item x="800"/>
        <item x="685"/>
        <item x="970"/>
        <item x="48"/>
        <item x="160"/>
        <item x="523"/>
        <item x="90"/>
        <item x="473"/>
        <item x="548"/>
        <item x="116"/>
        <item x="739"/>
        <item x="423"/>
        <item x="122"/>
        <item x="55"/>
        <item x="768"/>
        <item x="475"/>
        <item x="865"/>
        <item x="326"/>
        <item x="388"/>
        <item x="462"/>
        <item x="379"/>
        <item x="125"/>
        <item x="717"/>
        <item x="756"/>
        <item x="626"/>
        <item x="795"/>
        <item x="459"/>
        <item x="436"/>
        <item x="620"/>
        <item x="52"/>
        <item x="205"/>
        <item x="834"/>
        <item x="2"/>
        <item x="602"/>
        <item x="307"/>
        <item x="103"/>
        <item x="945"/>
        <item x="398"/>
        <item x="702"/>
        <item x="397"/>
        <item x="62"/>
        <item x="897"/>
        <item x="253"/>
        <item x="292"/>
        <item x="47"/>
        <item x="677"/>
        <item x="428"/>
        <item x="628"/>
        <item x="513"/>
        <item x="838"/>
        <item x="479"/>
        <item x="149"/>
        <item x="858"/>
        <item x="640"/>
        <item x="635"/>
        <item x="594"/>
        <item x="686"/>
        <item x="329"/>
        <item x="481"/>
        <item x="782"/>
        <item x="373"/>
        <item x="968"/>
        <item x="753"/>
        <item x="447"/>
        <item x="669"/>
        <item x="383"/>
        <item x="121"/>
        <item x="299"/>
        <item x="418"/>
        <item x="404"/>
        <item x="181"/>
        <item x="909"/>
        <item x="297"/>
        <item x="709"/>
        <item x="276"/>
        <item x="382"/>
        <item x="78"/>
        <item x="515"/>
        <item x="251"/>
        <item x="452"/>
        <item x="126"/>
        <item x="618"/>
        <item x="490"/>
        <item x="694"/>
        <item x="370"/>
        <item x="718"/>
        <item x="879"/>
        <item x="514"/>
        <item x="471"/>
        <item x="696"/>
        <item x="666"/>
        <item x="21"/>
        <item x="72"/>
        <item x="544"/>
        <item x="443"/>
        <item x="487"/>
        <item x="210"/>
        <item x="342"/>
        <item x="219"/>
        <item x="651"/>
        <item x="389"/>
        <item x="28"/>
        <item x="230"/>
        <item x="946"/>
        <item x="327"/>
        <item x="164"/>
        <item x="811"/>
        <item x="310"/>
        <item x="516"/>
        <item x="921"/>
        <item x="705"/>
        <item x="940"/>
        <item x="978"/>
        <item x="23"/>
        <item x="957"/>
        <item x="51"/>
        <item x="954"/>
        <item x="667"/>
        <item x="331"/>
        <item x="972"/>
        <item x="856"/>
        <item x="19"/>
        <item x="361"/>
        <item x="661"/>
        <item x="232"/>
        <item x="506"/>
        <item x="793"/>
        <item x="95"/>
        <item x="741"/>
        <item x="92"/>
        <item x="291"/>
        <item x="746"/>
        <item x="237"/>
        <item x="133"/>
        <item x="313"/>
        <item x="411"/>
        <item x="271"/>
        <item x="603"/>
        <item x="759"/>
        <item x="281"/>
        <item x="632"/>
        <item x="319"/>
        <item x="369"/>
        <item x="769"/>
        <item x="151"/>
        <item x="391"/>
        <item x="395"/>
        <item x="807"/>
        <item x="873"/>
        <item x="16"/>
        <item x="390"/>
        <item x="806"/>
        <item x="645"/>
        <item x="518"/>
        <item x="262"/>
        <item x="200"/>
        <item x="926"/>
        <item x="619"/>
        <item x="736"/>
        <item x="57"/>
        <item x="302"/>
        <item x="360"/>
        <item x="538"/>
        <item x="556"/>
        <item x="664"/>
        <item x="387"/>
        <item x="778"/>
        <item x="868"/>
        <item x="930"/>
        <item x="54"/>
        <item x="517"/>
        <item x="202"/>
        <item x="605"/>
        <item x="801"/>
        <item x="467"/>
        <item x="878"/>
        <item x="22"/>
        <item x="96"/>
        <item x="53"/>
        <item x="699"/>
        <item x="56"/>
        <item x="823"/>
        <item x="42"/>
        <item x="113"/>
        <item x="351"/>
        <item x="625"/>
        <item x="31"/>
        <item x="8"/>
        <item x="108"/>
        <item x="527"/>
        <item x="315"/>
        <item x="808"/>
        <item x="110"/>
        <item x="854"/>
        <item x="198"/>
        <item x="614"/>
        <item x="799"/>
        <item x="1"/>
        <item x="357"/>
        <item x="284"/>
        <item x="572"/>
        <item x="943"/>
        <item x="241"/>
        <item x="598"/>
        <item x="406"/>
        <item x="932"/>
        <item x="83"/>
        <item x="725"/>
        <item x="788"/>
        <item x="922"/>
        <item x="85"/>
        <item x="234"/>
        <item x="71"/>
        <item x="227"/>
        <item x="172"/>
        <item x="332"/>
        <item x="434"/>
        <item x="376"/>
        <item x="653"/>
        <item x="358"/>
        <item x="539"/>
        <item x="584"/>
        <item x="74"/>
        <item x="845"/>
        <item x="38"/>
        <item x="535"/>
        <item x="485"/>
        <item x="966"/>
        <item x="290"/>
        <item x="536"/>
        <item x="734"/>
        <item x="738"/>
        <item x="59"/>
        <item x="499"/>
        <item x="877"/>
        <item x="294"/>
        <item x="822"/>
        <item x="982"/>
        <item x="211"/>
        <item x="697"/>
        <item x="660"/>
        <item x="66"/>
        <item x="955"/>
        <item x="247"/>
        <item x="288"/>
        <item x="888"/>
        <item x="252"/>
        <item x="421"/>
        <item x="730"/>
        <item x="920"/>
        <item x="812"/>
        <item x="762"/>
        <item x="950"/>
        <item x="862"/>
        <item x="956"/>
        <item x="183"/>
        <item x="731"/>
        <item x="601"/>
        <item x="643"/>
        <item x="118"/>
        <item x="599"/>
        <item x="907"/>
        <item x="819"/>
        <item x="472"/>
        <item x="744"/>
        <item x="384"/>
        <item x="579"/>
        <item x="263"/>
        <item x="816"/>
        <item x="833"/>
        <item x="863"/>
        <item x="458"/>
        <item x="214"/>
        <item x="366"/>
        <item x="779"/>
        <item x="925"/>
        <item x="495"/>
        <item x="977"/>
        <item x="318"/>
        <item x="684"/>
        <item x="937"/>
        <item x="112"/>
        <item x="832"/>
        <item x="775"/>
        <item x="735"/>
        <item x="777"/>
        <item x="238"/>
        <item x="906"/>
        <item x="848"/>
        <item x="243"/>
        <item x="974"/>
        <item x="612"/>
        <item x="282"/>
        <item x="25"/>
        <item x="649"/>
        <item x="130"/>
        <item x="747"/>
        <item x="647"/>
        <item x="128"/>
        <item x="742"/>
        <item x="809"/>
        <item x="445"/>
        <item x="837"/>
        <item x="69"/>
        <item x="981"/>
        <item x="7"/>
        <item x="264"/>
        <item x="408"/>
        <item x="555"/>
        <item x="887"/>
        <item x="153"/>
        <item x="316"/>
        <item x="203"/>
        <item x="412"/>
        <item x="334"/>
        <item x="442"/>
        <item x="941"/>
        <item x="355"/>
        <item x="781"/>
        <item x="929"/>
        <item x="6"/>
        <item x="340"/>
        <item x="637"/>
        <item x="623"/>
        <item x="520"/>
        <item x="410"/>
        <item x="415"/>
        <item x="797"/>
        <item x="534"/>
        <item x="441"/>
        <item x="568"/>
        <item x="399"/>
        <item x="195"/>
        <item x="386"/>
        <item x="931"/>
        <item x="140"/>
        <item x="223"/>
        <item x="17"/>
        <item x="934"/>
        <item x="455"/>
        <item x="553"/>
        <item x="463"/>
        <item x="566"/>
        <item x="422"/>
        <item x="161"/>
        <item x="176"/>
        <item x="690"/>
        <item x="346"/>
        <item x="671"/>
        <item x="785"/>
        <item x="561"/>
        <item x="592"/>
        <item x="409"/>
        <item x="283"/>
        <item x="835"/>
        <item x="50"/>
        <item x="417"/>
        <item x="274"/>
        <item x="86"/>
        <item x="765"/>
        <item x="633"/>
        <item x="162"/>
        <item x="61"/>
        <item x="727"/>
        <item x="36"/>
        <item x="866"/>
        <item x="820"/>
        <item x="324"/>
        <item x="40"/>
        <item x="362"/>
        <item x="295"/>
        <item x="87"/>
        <item x="861"/>
        <item x="454"/>
        <item x="857"/>
        <item x="903"/>
        <item x="407"/>
        <item x="11"/>
        <item x="293"/>
        <item x="847"/>
        <item x="802"/>
        <item x="507"/>
        <item x="796"/>
        <item x="817"/>
        <item x="870"/>
        <item x="451"/>
        <item x="138"/>
        <item x="199"/>
        <item x="482"/>
        <item x="446"/>
        <item x="259"/>
        <item x="580"/>
        <item x="502"/>
        <item x="569"/>
        <item x="935"/>
        <item x="967"/>
        <item x="652"/>
        <item x="196"/>
        <item x="899"/>
        <item x="323"/>
        <item x="461"/>
        <item x="427"/>
        <item x="483"/>
        <item x="68"/>
        <item x="521"/>
        <item x="89"/>
        <item x="884"/>
        <item x="328"/>
        <item x="895"/>
        <item x="46"/>
        <item x="187"/>
        <item x="701"/>
        <item x="221"/>
        <item x="772"/>
        <item x="840"/>
        <item x="573"/>
        <item x="60"/>
        <item x="971"/>
        <item x="98"/>
        <item x="963"/>
        <item x="224"/>
        <item x="617"/>
        <item x="419"/>
        <item x="58"/>
        <item x="565"/>
        <item x="706"/>
        <item x="317"/>
        <item x="15"/>
        <item x="486"/>
        <item x="674"/>
        <item x="634"/>
        <item x="540"/>
        <item x="855"/>
        <item x="20"/>
        <item x="403"/>
        <item x="825"/>
        <item x="119"/>
        <item x="948"/>
        <item x="268"/>
        <item x="503"/>
        <item x="492"/>
        <item x="590"/>
        <item x="242"/>
        <item x="368"/>
        <item x="673"/>
        <item x="784"/>
        <item x="524"/>
        <item x="733"/>
        <item x="542"/>
        <item x="766"/>
        <item x="166"/>
        <item x="216"/>
        <item x="843"/>
        <item x="737"/>
        <item x="305"/>
        <item x="4"/>
        <item x="363"/>
        <item x="509"/>
        <item x="939"/>
        <item x="64"/>
        <item x="272"/>
        <item x="431"/>
        <item x="606"/>
        <item x="45"/>
        <item x="124"/>
        <item x="306"/>
        <item x="543"/>
        <item x="142"/>
        <item x="453"/>
        <item x="498"/>
        <item x="912"/>
        <item x="84"/>
        <item x="39"/>
        <item x="792"/>
        <item x="958"/>
        <item x="776"/>
        <item x="114"/>
        <item x="286"/>
        <item x="815"/>
        <item x="558"/>
        <item x="676"/>
        <item x="280"/>
        <item x="312"/>
        <item x="170"/>
        <item x="163"/>
        <item x="988"/>
        <item x="289"/>
        <item x="488"/>
        <item x="301"/>
        <item x="511"/>
        <item x="192"/>
        <item x="915"/>
        <item x="117"/>
        <item x="905"/>
        <item x="278"/>
        <item x="429"/>
        <item x="67"/>
        <item x="107"/>
        <item x="381"/>
        <item x="337"/>
        <item x="826"/>
        <item x="496"/>
        <item x="352"/>
        <item x="893"/>
        <item x="953"/>
        <item x="849"/>
        <item x="716"/>
        <item x="184"/>
        <item x="545"/>
        <item x="217"/>
        <item x="720"/>
        <item x="207"/>
        <item x="969"/>
        <item x="29"/>
        <item x="576"/>
        <item x="821"/>
        <item x="680"/>
        <item x="525"/>
        <item x="300"/>
        <item x="497"/>
        <item x="131"/>
        <item x="123"/>
        <item x="212"/>
        <item x="433"/>
        <item x="491"/>
        <item x="257"/>
        <item x="233"/>
        <item x="642"/>
        <item x="657"/>
        <item x="987"/>
        <item x="853"/>
        <item x="213"/>
        <item x="285"/>
        <item x="989"/>
        <item x="460"/>
        <item x="962"/>
        <item x="636"/>
        <item x="659"/>
        <item x="94"/>
        <item x="913"/>
        <item x="349"/>
        <item x="512"/>
        <item x="401"/>
        <item x="750"/>
        <item x="729"/>
        <item x="767"/>
        <item x="254"/>
        <item x="30"/>
        <item x="201"/>
        <item x="710"/>
        <item x="104"/>
        <item x="258"/>
        <item x="528"/>
        <item x="581"/>
        <item x="456"/>
        <item x="152"/>
        <item x="109"/>
        <item x="197"/>
        <item x="979"/>
        <item x="872"/>
        <item x="655"/>
        <item x="904"/>
        <item x="308"/>
        <item x="711"/>
        <item x="803"/>
        <item x="191"/>
        <item x="157"/>
        <item x="469"/>
        <item x="724"/>
        <item x="330"/>
        <item x="444"/>
        <item x="689"/>
        <item x="789"/>
        <item x="5"/>
        <item x="871"/>
        <item x="248"/>
        <item x="698"/>
        <item x="714"/>
        <item x="830"/>
        <item x="240"/>
        <item x="880"/>
        <item x="774"/>
        <item x="3"/>
        <item x="787"/>
        <item x="713"/>
        <item x="245"/>
        <item x="783"/>
        <item x="80"/>
        <item x="745"/>
        <item x="656"/>
        <item x="450"/>
        <item x="691"/>
        <item x="424"/>
        <item x="644"/>
        <item x="139"/>
        <item x="780"/>
        <item x="91"/>
        <item x="522"/>
        <item x="440"/>
        <item x="372"/>
        <item x="844"/>
        <item x="150"/>
        <item x="296"/>
        <item x="508"/>
        <item x="552"/>
        <item x="604"/>
        <item x="464"/>
        <item x="393"/>
        <item x="63"/>
        <item x="505"/>
        <item x="749"/>
        <item x="613"/>
        <item x="663"/>
        <item x="432"/>
        <item x="610"/>
        <item x="983"/>
        <item x="547"/>
        <item x="120"/>
        <item x="631"/>
        <item x="26"/>
        <item x="615"/>
        <item x="466"/>
        <item x="798"/>
        <item x="102"/>
        <item x="177"/>
        <item x="32"/>
        <item x="898"/>
        <item x="510"/>
        <item x="564"/>
        <item x="303"/>
        <item x="841"/>
        <item x="587"/>
        <item x="639"/>
        <item x="44"/>
        <item x="563"/>
        <item x="814"/>
        <item x="846"/>
        <item x="256"/>
        <item x="145"/>
        <item x="551"/>
        <item x="757"/>
        <item x="760"/>
        <item x="984"/>
        <item x="392"/>
        <item x="829"/>
        <item x="474"/>
        <item x="220"/>
        <item x="715"/>
        <item x="976"/>
        <item x="891"/>
        <item x="916"/>
        <item x="624"/>
        <item x="115"/>
        <item x="270"/>
        <item x="859"/>
        <item x="764"/>
        <item x="942"/>
        <item x="180"/>
        <item x="178"/>
        <item x="961"/>
        <item x="596"/>
        <item x="359"/>
        <item x="901"/>
        <item x="927"/>
        <item x="890"/>
        <item x="928"/>
        <item x="595"/>
        <item x="532"/>
        <item x="190"/>
        <item x="679"/>
        <item x="526"/>
        <item x="591"/>
        <item x="813"/>
        <item x="530"/>
        <item x="570"/>
        <item x="557"/>
        <item x="752"/>
        <item x="250"/>
        <item x="944"/>
        <item x="990"/>
        <item x="438"/>
        <item x="437"/>
        <item x="70"/>
        <item x="165"/>
        <item x="567"/>
        <item x="577"/>
        <item x="695"/>
        <item x="560"/>
        <item x="641"/>
        <item x="167"/>
        <item x="616"/>
        <item x="279"/>
        <item x="876"/>
        <item x="81"/>
        <item x="430"/>
        <item x="347"/>
        <item x="630"/>
        <item x="896"/>
        <item x="665"/>
        <item x="886"/>
        <item x="839"/>
        <item x="169"/>
        <item x="589"/>
        <item x="541"/>
        <item x="627"/>
        <item x="910"/>
        <item x="377"/>
        <item x="951"/>
        <item x="722"/>
        <item t="default"/>
      </items>
    </pivotField>
    <pivotField showAll="0"/>
    <pivotField showAll="0">
      <items count="3">
        <item x="0"/>
        <item x="1"/>
        <item t="default"/>
      </items>
    </pivotField>
    <pivotField numFmtId="14" showAll="0"/>
    <pivotField numFmtId="14" showAll="0"/>
    <pivotField showAll="0">
      <items count="8">
        <item x="3"/>
        <item x="5"/>
        <item x="4"/>
        <item x="6"/>
        <item x="1"/>
        <item x="2"/>
        <item x="0"/>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s>
  <rowFields count="1">
    <field x="12"/>
  </rowFields>
  <rowItems count="4">
    <i>
      <x/>
    </i>
    <i>
      <x v="1"/>
    </i>
    <i>
      <x v="2"/>
    </i>
    <i t="grand">
      <x/>
    </i>
  </rowItems>
  <colItems count="1">
    <i/>
  </colItems>
  <dataFields count="1">
    <dataField name="Count of Name" fld="1" subtotal="count" baseField="0" baseItem="0"/>
  </dataFields>
  <chartFormats count="2">
    <chartFormat chart="15"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78D8F5-3549-46B8-B730-796105D15BA1}"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M22:N30" firstHeaderRow="1" firstDataRow="1" firstDataCol="1"/>
  <pivotFields count="15">
    <pivotField showAll="0"/>
    <pivotField showAll="0"/>
    <pivotField showAll="0"/>
    <pivotField showAll="0">
      <items count="3">
        <item x="0"/>
        <item x="1"/>
        <item t="default"/>
      </items>
    </pivotField>
    <pivotField numFmtId="14" showAll="0"/>
    <pivotField numFmtId="14" showAll="0"/>
    <pivotField axis="axisRow" showAll="0">
      <items count="8">
        <item x="3"/>
        <item x="5"/>
        <item x="4"/>
        <item x="6"/>
        <item x="1"/>
        <item x="2"/>
        <item x="0"/>
        <item t="default"/>
      </items>
    </pivotField>
    <pivotField showAll="0"/>
    <pivotField showAll="0"/>
    <pivotField showAll="0"/>
    <pivotField showAll="0"/>
    <pivotField showAll="0"/>
    <pivotField showAll="0">
      <items count="4">
        <item x="2"/>
        <item x="1"/>
        <item x="0"/>
        <item t="default"/>
      </items>
    </pivotField>
    <pivotField dataField="1" showAll="0"/>
    <pivotField showAll="0"/>
  </pivotFields>
  <rowFields count="1">
    <field x="6"/>
  </rowFields>
  <rowItems count="8">
    <i>
      <x/>
    </i>
    <i>
      <x v="1"/>
    </i>
    <i>
      <x v="2"/>
    </i>
    <i>
      <x v="3"/>
    </i>
    <i>
      <x v="4"/>
    </i>
    <i>
      <x v="5"/>
    </i>
    <i>
      <x v="6"/>
    </i>
    <i t="grand">
      <x/>
    </i>
  </rowItems>
  <colItems count="1">
    <i/>
  </colItems>
  <dataFields count="1">
    <dataField name="Average of Length of Stay (Days)" fld="13" subtotal="average" baseField="6" baseItem="0"/>
  </dataFields>
  <chartFormats count="2">
    <chartFormat chart="39"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3188F6-8A45-40A0-B9D0-CB62CA3AA6F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D12" firstHeaderRow="1" firstDataRow="2" firstDataCol="1"/>
  <pivotFields count="15">
    <pivotField showAll="0"/>
    <pivotField dataField="1" showAll="0">
      <items count="992">
        <item x="209"/>
        <item x="76"/>
        <item x="827"/>
        <item x="374"/>
        <item x="975"/>
        <item x="171"/>
        <item x="607"/>
        <item x="144"/>
        <item x="504"/>
        <item x="339"/>
        <item x="10"/>
        <item x="186"/>
        <item x="881"/>
        <item x="426"/>
        <item x="763"/>
        <item x="185"/>
        <item x="27"/>
        <item x="537"/>
        <item x="864"/>
        <item x="244"/>
        <item x="159"/>
        <item x="611"/>
        <item x="261"/>
        <item x="348"/>
        <item x="681"/>
        <item x="629"/>
        <item x="911"/>
        <item x="609"/>
        <item x="923"/>
        <item x="269"/>
        <item x="34"/>
        <item x="836"/>
        <item x="204"/>
        <item x="12"/>
        <item x="754"/>
        <item x="917"/>
        <item x="168"/>
        <item x="239"/>
        <item x="425"/>
        <item x="420"/>
        <item x="314"/>
        <item x="586"/>
        <item x="824"/>
        <item x="255"/>
        <item x="218"/>
        <item x="365"/>
        <item x="229"/>
        <item x="416"/>
        <item x="952"/>
        <item x="682"/>
        <item x="476"/>
        <item x="235"/>
        <item x="174"/>
        <item x="621"/>
        <item x="654"/>
        <item x="18"/>
        <item x="49"/>
        <item x="148"/>
        <item x="146"/>
        <item x="132"/>
        <item x="600"/>
        <item x="874"/>
        <item x="208"/>
        <item x="249"/>
        <item x="936"/>
        <item x="550"/>
        <item x="335"/>
        <item x="147"/>
        <item x="882"/>
        <item x="964"/>
        <item x="646"/>
        <item x="111"/>
        <item x="477"/>
        <item x="786"/>
        <item x="751"/>
        <item x="852"/>
        <item x="321"/>
        <item x="574"/>
        <item x="662"/>
        <item x="924"/>
        <item x="353"/>
        <item x="106"/>
        <item x="338"/>
        <item x="755"/>
        <item x="344"/>
        <item x="156"/>
        <item x="137"/>
        <item x="394"/>
        <item x="396"/>
        <item x="173"/>
        <item x="986"/>
        <item x="889"/>
        <item x="341"/>
        <item x="531"/>
        <item x="743"/>
        <item x="73"/>
        <item x="37"/>
        <item x="585"/>
        <item x="225"/>
        <item x="712"/>
        <item x="260"/>
        <item x="375"/>
        <item x="413"/>
        <item x="154"/>
        <item x="484"/>
        <item x="770"/>
        <item x="298"/>
        <item x="707"/>
        <item x="578"/>
        <item x="134"/>
        <item x="771"/>
        <item x="188"/>
        <item x="449"/>
        <item x="182"/>
        <item x="333"/>
        <item x="367"/>
        <item x="215"/>
        <item x="678"/>
        <item x="189"/>
        <item x="65"/>
        <item x="549"/>
        <item x="985"/>
        <item x="533"/>
        <item x="500"/>
        <item x="597"/>
        <item x="158"/>
        <item x="908"/>
        <item x="914"/>
        <item x="414"/>
        <item x="175"/>
        <item x="973"/>
        <item x="672"/>
        <item x="842"/>
        <item x="226"/>
        <item x="228"/>
        <item x="266"/>
        <item x="468"/>
        <item x="818"/>
        <item x="519"/>
        <item x="309"/>
        <item x="489"/>
        <item x="758"/>
        <item x="465"/>
        <item x="75"/>
        <item x="704"/>
        <item x="658"/>
        <item x="851"/>
        <item x="650"/>
        <item x="448"/>
        <item x="546"/>
        <item x="478"/>
        <item x="457"/>
        <item x="371"/>
        <item x="794"/>
        <item x="790"/>
        <item x="287"/>
        <item x="761"/>
        <item x="43"/>
        <item x="14"/>
        <item x="304"/>
        <item x="405"/>
        <item x="571"/>
        <item x="93"/>
        <item x="494"/>
        <item x="668"/>
        <item x="885"/>
        <item x="938"/>
        <item x="732"/>
        <item x="194"/>
        <item x="0"/>
        <item x="155"/>
        <item x="965"/>
        <item x="559"/>
        <item x="883"/>
        <item x="79"/>
        <item x="867"/>
        <item x="236"/>
        <item x="980"/>
        <item x="320"/>
        <item x="24"/>
        <item x="275"/>
        <item x="575"/>
        <item x="322"/>
        <item x="435"/>
        <item x="273"/>
        <item x="136"/>
        <item x="810"/>
        <item x="608"/>
        <item x="648"/>
        <item x="354"/>
        <item x="700"/>
        <item x="129"/>
        <item x="88"/>
        <item x="402"/>
        <item x="805"/>
        <item x="688"/>
        <item x="583"/>
        <item x="336"/>
        <item x="439"/>
        <item x="828"/>
        <item x="791"/>
        <item x="9"/>
        <item x="82"/>
        <item x="311"/>
        <item x="703"/>
        <item x="593"/>
        <item x="364"/>
        <item x="638"/>
        <item x="687"/>
        <item x="960"/>
        <item x="100"/>
        <item x="947"/>
        <item x="622"/>
        <item x="894"/>
        <item x="693"/>
        <item x="400"/>
        <item x="529"/>
        <item x="860"/>
        <item x="902"/>
        <item x="493"/>
        <item x="728"/>
        <item x="480"/>
        <item x="949"/>
        <item x="740"/>
        <item x="831"/>
        <item x="670"/>
        <item x="804"/>
        <item x="343"/>
        <item x="345"/>
        <item x="919"/>
        <item x="135"/>
        <item x="708"/>
        <item x="748"/>
        <item x="127"/>
        <item x="900"/>
        <item x="141"/>
        <item x="380"/>
        <item x="143"/>
        <item x="277"/>
        <item x="869"/>
        <item x="850"/>
        <item x="726"/>
        <item x="179"/>
        <item x="267"/>
        <item x="265"/>
        <item x="222"/>
        <item x="918"/>
        <item x="246"/>
        <item x="356"/>
        <item x="325"/>
        <item x="97"/>
        <item x="501"/>
        <item x="554"/>
        <item x="721"/>
        <item x="350"/>
        <item x="105"/>
        <item x="582"/>
        <item x="723"/>
        <item x="692"/>
        <item x="99"/>
        <item x="683"/>
        <item x="875"/>
        <item x="77"/>
        <item x="41"/>
        <item x="588"/>
        <item x="35"/>
        <item x="959"/>
        <item x="33"/>
        <item x="193"/>
        <item x="231"/>
        <item x="385"/>
        <item x="562"/>
        <item x="470"/>
        <item x="206"/>
        <item x="13"/>
        <item x="933"/>
        <item x="675"/>
        <item x="892"/>
        <item x="719"/>
        <item x="101"/>
        <item x="773"/>
        <item x="378"/>
        <item x="800"/>
        <item x="685"/>
        <item x="970"/>
        <item x="48"/>
        <item x="160"/>
        <item x="523"/>
        <item x="90"/>
        <item x="473"/>
        <item x="548"/>
        <item x="116"/>
        <item x="739"/>
        <item x="423"/>
        <item x="122"/>
        <item x="55"/>
        <item x="768"/>
        <item x="475"/>
        <item x="865"/>
        <item x="326"/>
        <item x="388"/>
        <item x="462"/>
        <item x="379"/>
        <item x="125"/>
        <item x="717"/>
        <item x="756"/>
        <item x="626"/>
        <item x="795"/>
        <item x="459"/>
        <item x="436"/>
        <item x="620"/>
        <item x="52"/>
        <item x="205"/>
        <item x="834"/>
        <item x="2"/>
        <item x="602"/>
        <item x="307"/>
        <item x="103"/>
        <item x="945"/>
        <item x="398"/>
        <item x="702"/>
        <item x="397"/>
        <item x="62"/>
        <item x="897"/>
        <item x="253"/>
        <item x="292"/>
        <item x="47"/>
        <item x="677"/>
        <item x="428"/>
        <item x="628"/>
        <item x="513"/>
        <item x="838"/>
        <item x="479"/>
        <item x="149"/>
        <item x="858"/>
        <item x="640"/>
        <item x="635"/>
        <item x="594"/>
        <item x="686"/>
        <item x="329"/>
        <item x="481"/>
        <item x="782"/>
        <item x="373"/>
        <item x="968"/>
        <item x="753"/>
        <item x="447"/>
        <item x="669"/>
        <item x="383"/>
        <item x="121"/>
        <item x="299"/>
        <item x="418"/>
        <item x="404"/>
        <item x="181"/>
        <item x="909"/>
        <item x="297"/>
        <item x="709"/>
        <item x="276"/>
        <item x="382"/>
        <item x="78"/>
        <item x="515"/>
        <item x="251"/>
        <item x="452"/>
        <item x="126"/>
        <item x="618"/>
        <item x="490"/>
        <item x="694"/>
        <item x="370"/>
        <item x="718"/>
        <item x="879"/>
        <item x="514"/>
        <item x="471"/>
        <item x="696"/>
        <item x="666"/>
        <item x="21"/>
        <item x="72"/>
        <item x="544"/>
        <item x="443"/>
        <item x="487"/>
        <item x="210"/>
        <item x="342"/>
        <item x="219"/>
        <item x="651"/>
        <item x="389"/>
        <item x="28"/>
        <item x="230"/>
        <item x="946"/>
        <item x="327"/>
        <item x="164"/>
        <item x="811"/>
        <item x="310"/>
        <item x="516"/>
        <item x="921"/>
        <item x="705"/>
        <item x="940"/>
        <item x="978"/>
        <item x="23"/>
        <item x="957"/>
        <item x="51"/>
        <item x="954"/>
        <item x="667"/>
        <item x="331"/>
        <item x="972"/>
        <item x="856"/>
        <item x="19"/>
        <item x="361"/>
        <item x="661"/>
        <item x="232"/>
        <item x="506"/>
        <item x="793"/>
        <item x="95"/>
        <item x="741"/>
        <item x="92"/>
        <item x="291"/>
        <item x="746"/>
        <item x="237"/>
        <item x="133"/>
        <item x="313"/>
        <item x="411"/>
        <item x="271"/>
        <item x="603"/>
        <item x="759"/>
        <item x="281"/>
        <item x="632"/>
        <item x="319"/>
        <item x="369"/>
        <item x="769"/>
        <item x="151"/>
        <item x="391"/>
        <item x="395"/>
        <item x="807"/>
        <item x="873"/>
        <item x="16"/>
        <item x="390"/>
        <item x="806"/>
        <item x="645"/>
        <item x="518"/>
        <item x="262"/>
        <item x="200"/>
        <item x="926"/>
        <item x="619"/>
        <item x="736"/>
        <item x="57"/>
        <item x="302"/>
        <item x="360"/>
        <item x="538"/>
        <item x="556"/>
        <item x="664"/>
        <item x="387"/>
        <item x="778"/>
        <item x="868"/>
        <item x="930"/>
        <item x="54"/>
        <item x="517"/>
        <item x="202"/>
        <item x="605"/>
        <item x="801"/>
        <item x="467"/>
        <item x="878"/>
        <item x="22"/>
        <item x="96"/>
        <item x="53"/>
        <item x="699"/>
        <item x="56"/>
        <item x="823"/>
        <item x="42"/>
        <item x="113"/>
        <item x="351"/>
        <item x="625"/>
        <item x="31"/>
        <item x="8"/>
        <item x="108"/>
        <item x="527"/>
        <item x="315"/>
        <item x="808"/>
        <item x="110"/>
        <item x="854"/>
        <item x="198"/>
        <item x="614"/>
        <item x="799"/>
        <item x="1"/>
        <item x="357"/>
        <item x="284"/>
        <item x="572"/>
        <item x="943"/>
        <item x="241"/>
        <item x="598"/>
        <item x="406"/>
        <item x="932"/>
        <item x="83"/>
        <item x="725"/>
        <item x="788"/>
        <item x="922"/>
        <item x="85"/>
        <item x="234"/>
        <item x="71"/>
        <item x="227"/>
        <item x="172"/>
        <item x="332"/>
        <item x="434"/>
        <item x="376"/>
        <item x="653"/>
        <item x="358"/>
        <item x="539"/>
        <item x="584"/>
        <item x="74"/>
        <item x="845"/>
        <item x="38"/>
        <item x="535"/>
        <item x="485"/>
        <item x="966"/>
        <item x="290"/>
        <item x="536"/>
        <item x="734"/>
        <item x="738"/>
        <item x="59"/>
        <item x="499"/>
        <item x="877"/>
        <item x="294"/>
        <item x="822"/>
        <item x="982"/>
        <item x="211"/>
        <item x="697"/>
        <item x="660"/>
        <item x="66"/>
        <item x="955"/>
        <item x="247"/>
        <item x="288"/>
        <item x="888"/>
        <item x="252"/>
        <item x="421"/>
        <item x="730"/>
        <item x="920"/>
        <item x="812"/>
        <item x="762"/>
        <item x="950"/>
        <item x="862"/>
        <item x="956"/>
        <item x="183"/>
        <item x="731"/>
        <item x="601"/>
        <item x="643"/>
        <item x="118"/>
        <item x="599"/>
        <item x="907"/>
        <item x="819"/>
        <item x="472"/>
        <item x="744"/>
        <item x="384"/>
        <item x="579"/>
        <item x="263"/>
        <item x="816"/>
        <item x="833"/>
        <item x="863"/>
        <item x="458"/>
        <item x="214"/>
        <item x="366"/>
        <item x="779"/>
        <item x="925"/>
        <item x="495"/>
        <item x="977"/>
        <item x="318"/>
        <item x="684"/>
        <item x="937"/>
        <item x="112"/>
        <item x="832"/>
        <item x="775"/>
        <item x="735"/>
        <item x="777"/>
        <item x="238"/>
        <item x="906"/>
        <item x="848"/>
        <item x="243"/>
        <item x="974"/>
        <item x="612"/>
        <item x="282"/>
        <item x="25"/>
        <item x="649"/>
        <item x="130"/>
        <item x="747"/>
        <item x="647"/>
        <item x="128"/>
        <item x="742"/>
        <item x="809"/>
        <item x="445"/>
        <item x="837"/>
        <item x="69"/>
        <item x="981"/>
        <item x="7"/>
        <item x="264"/>
        <item x="408"/>
        <item x="555"/>
        <item x="887"/>
        <item x="153"/>
        <item x="316"/>
        <item x="203"/>
        <item x="412"/>
        <item x="334"/>
        <item x="442"/>
        <item x="941"/>
        <item x="355"/>
        <item x="781"/>
        <item x="929"/>
        <item x="6"/>
        <item x="340"/>
        <item x="637"/>
        <item x="623"/>
        <item x="520"/>
        <item x="410"/>
        <item x="415"/>
        <item x="797"/>
        <item x="534"/>
        <item x="441"/>
        <item x="568"/>
        <item x="399"/>
        <item x="195"/>
        <item x="386"/>
        <item x="931"/>
        <item x="140"/>
        <item x="223"/>
        <item x="17"/>
        <item x="934"/>
        <item x="455"/>
        <item x="553"/>
        <item x="463"/>
        <item x="566"/>
        <item x="422"/>
        <item x="161"/>
        <item x="176"/>
        <item x="690"/>
        <item x="346"/>
        <item x="671"/>
        <item x="785"/>
        <item x="561"/>
        <item x="592"/>
        <item x="409"/>
        <item x="283"/>
        <item x="835"/>
        <item x="50"/>
        <item x="417"/>
        <item x="274"/>
        <item x="86"/>
        <item x="765"/>
        <item x="633"/>
        <item x="162"/>
        <item x="61"/>
        <item x="727"/>
        <item x="36"/>
        <item x="866"/>
        <item x="820"/>
        <item x="324"/>
        <item x="40"/>
        <item x="362"/>
        <item x="295"/>
        <item x="87"/>
        <item x="861"/>
        <item x="454"/>
        <item x="857"/>
        <item x="903"/>
        <item x="407"/>
        <item x="11"/>
        <item x="293"/>
        <item x="847"/>
        <item x="802"/>
        <item x="507"/>
        <item x="796"/>
        <item x="817"/>
        <item x="870"/>
        <item x="451"/>
        <item x="138"/>
        <item x="199"/>
        <item x="482"/>
        <item x="446"/>
        <item x="259"/>
        <item x="580"/>
        <item x="502"/>
        <item x="569"/>
        <item x="935"/>
        <item x="967"/>
        <item x="652"/>
        <item x="196"/>
        <item x="899"/>
        <item x="323"/>
        <item x="461"/>
        <item x="427"/>
        <item x="483"/>
        <item x="68"/>
        <item x="521"/>
        <item x="89"/>
        <item x="884"/>
        <item x="328"/>
        <item x="895"/>
        <item x="46"/>
        <item x="187"/>
        <item x="701"/>
        <item x="221"/>
        <item x="772"/>
        <item x="840"/>
        <item x="573"/>
        <item x="60"/>
        <item x="971"/>
        <item x="98"/>
        <item x="963"/>
        <item x="224"/>
        <item x="617"/>
        <item x="419"/>
        <item x="58"/>
        <item x="565"/>
        <item x="706"/>
        <item x="317"/>
        <item x="15"/>
        <item x="486"/>
        <item x="674"/>
        <item x="634"/>
        <item x="540"/>
        <item x="855"/>
        <item x="20"/>
        <item x="403"/>
        <item x="825"/>
        <item x="119"/>
        <item x="948"/>
        <item x="268"/>
        <item x="503"/>
        <item x="492"/>
        <item x="590"/>
        <item x="242"/>
        <item x="368"/>
        <item x="673"/>
        <item x="784"/>
        <item x="524"/>
        <item x="733"/>
        <item x="542"/>
        <item x="766"/>
        <item x="166"/>
        <item x="216"/>
        <item x="843"/>
        <item x="737"/>
        <item x="305"/>
        <item x="4"/>
        <item x="363"/>
        <item x="509"/>
        <item x="939"/>
        <item x="64"/>
        <item x="272"/>
        <item x="431"/>
        <item x="606"/>
        <item x="45"/>
        <item x="124"/>
        <item x="306"/>
        <item x="543"/>
        <item x="142"/>
        <item x="453"/>
        <item x="498"/>
        <item x="912"/>
        <item x="84"/>
        <item x="39"/>
        <item x="792"/>
        <item x="958"/>
        <item x="776"/>
        <item x="114"/>
        <item x="286"/>
        <item x="815"/>
        <item x="558"/>
        <item x="676"/>
        <item x="280"/>
        <item x="312"/>
        <item x="170"/>
        <item x="163"/>
        <item x="988"/>
        <item x="289"/>
        <item x="488"/>
        <item x="301"/>
        <item x="511"/>
        <item x="192"/>
        <item x="915"/>
        <item x="117"/>
        <item x="905"/>
        <item x="278"/>
        <item x="429"/>
        <item x="67"/>
        <item x="107"/>
        <item x="381"/>
        <item x="337"/>
        <item x="826"/>
        <item x="496"/>
        <item x="352"/>
        <item x="893"/>
        <item x="953"/>
        <item x="849"/>
        <item x="716"/>
        <item x="184"/>
        <item x="545"/>
        <item x="217"/>
        <item x="720"/>
        <item x="207"/>
        <item x="969"/>
        <item x="29"/>
        <item x="576"/>
        <item x="821"/>
        <item x="680"/>
        <item x="525"/>
        <item x="300"/>
        <item x="497"/>
        <item x="131"/>
        <item x="123"/>
        <item x="212"/>
        <item x="433"/>
        <item x="491"/>
        <item x="257"/>
        <item x="233"/>
        <item x="642"/>
        <item x="657"/>
        <item x="987"/>
        <item x="853"/>
        <item x="213"/>
        <item x="285"/>
        <item x="989"/>
        <item x="460"/>
        <item x="962"/>
        <item x="636"/>
        <item x="659"/>
        <item x="94"/>
        <item x="913"/>
        <item x="349"/>
        <item x="512"/>
        <item x="401"/>
        <item x="750"/>
        <item x="729"/>
        <item x="767"/>
        <item x="254"/>
        <item x="30"/>
        <item x="201"/>
        <item x="710"/>
        <item x="104"/>
        <item x="258"/>
        <item x="528"/>
        <item x="581"/>
        <item x="456"/>
        <item x="152"/>
        <item x="109"/>
        <item x="197"/>
        <item x="979"/>
        <item x="872"/>
        <item x="655"/>
        <item x="904"/>
        <item x="308"/>
        <item x="711"/>
        <item x="803"/>
        <item x="191"/>
        <item x="157"/>
        <item x="469"/>
        <item x="724"/>
        <item x="330"/>
        <item x="444"/>
        <item x="689"/>
        <item x="789"/>
        <item x="5"/>
        <item x="871"/>
        <item x="248"/>
        <item x="698"/>
        <item x="714"/>
        <item x="830"/>
        <item x="240"/>
        <item x="880"/>
        <item x="774"/>
        <item x="3"/>
        <item x="787"/>
        <item x="713"/>
        <item x="245"/>
        <item x="783"/>
        <item x="80"/>
        <item x="745"/>
        <item x="656"/>
        <item x="450"/>
        <item x="691"/>
        <item x="424"/>
        <item x="644"/>
        <item x="139"/>
        <item x="780"/>
        <item x="91"/>
        <item x="522"/>
        <item x="440"/>
        <item x="372"/>
        <item x="844"/>
        <item x="150"/>
        <item x="296"/>
        <item x="508"/>
        <item x="552"/>
        <item x="604"/>
        <item x="464"/>
        <item x="393"/>
        <item x="63"/>
        <item x="505"/>
        <item x="749"/>
        <item x="613"/>
        <item x="663"/>
        <item x="432"/>
        <item x="610"/>
        <item x="983"/>
        <item x="547"/>
        <item x="120"/>
        <item x="631"/>
        <item x="26"/>
        <item x="615"/>
        <item x="466"/>
        <item x="798"/>
        <item x="102"/>
        <item x="177"/>
        <item x="32"/>
        <item x="898"/>
        <item x="510"/>
        <item x="564"/>
        <item x="303"/>
        <item x="841"/>
        <item x="587"/>
        <item x="639"/>
        <item x="44"/>
        <item x="563"/>
        <item x="814"/>
        <item x="846"/>
        <item x="256"/>
        <item x="145"/>
        <item x="551"/>
        <item x="757"/>
        <item x="760"/>
        <item x="984"/>
        <item x="392"/>
        <item x="829"/>
        <item x="474"/>
        <item x="220"/>
        <item x="715"/>
        <item x="976"/>
        <item x="891"/>
        <item x="916"/>
        <item x="624"/>
        <item x="115"/>
        <item x="270"/>
        <item x="859"/>
        <item x="764"/>
        <item x="942"/>
        <item x="180"/>
        <item x="178"/>
        <item x="961"/>
        <item x="596"/>
        <item x="359"/>
        <item x="901"/>
        <item x="927"/>
        <item x="890"/>
        <item x="928"/>
        <item x="595"/>
        <item x="532"/>
        <item x="190"/>
        <item x="679"/>
        <item x="526"/>
        <item x="591"/>
        <item x="813"/>
        <item x="530"/>
        <item x="570"/>
        <item x="557"/>
        <item x="752"/>
        <item x="250"/>
        <item x="944"/>
        <item x="990"/>
        <item x="438"/>
        <item x="437"/>
        <item x="70"/>
        <item x="165"/>
        <item x="567"/>
        <item x="577"/>
        <item x="695"/>
        <item x="560"/>
        <item x="641"/>
        <item x="167"/>
        <item x="616"/>
        <item x="279"/>
        <item x="876"/>
        <item x="81"/>
        <item x="430"/>
        <item x="347"/>
        <item x="630"/>
        <item x="896"/>
        <item x="665"/>
        <item x="886"/>
        <item x="839"/>
        <item x="169"/>
        <item x="589"/>
        <item x="541"/>
        <item x="627"/>
        <item x="910"/>
        <item x="377"/>
        <item x="951"/>
        <item x="722"/>
        <item t="default"/>
      </items>
    </pivotField>
    <pivotField showAll="0"/>
    <pivotField showAll="0">
      <items count="3">
        <item x="0"/>
        <item x="1"/>
        <item t="default"/>
      </items>
    </pivotField>
    <pivotField numFmtId="14" showAll="0"/>
    <pivotField numFmtId="14" showAll="0"/>
    <pivotField axis="axisRow" showAll="0">
      <items count="8">
        <item x="3"/>
        <item x="5"/>
        <item x="4"/>
        <item x="6"/>
        <item x="1"/>
        <item x="2"/>
        <item x="0"/>
        <item t="default"/>
      </items>
    </pivotField>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s>
  <rowFields count="1">
    <field x="6"/>
  </rowFields>
  <rowItems count="8">
    <i>
      <x/>
    </i>
    <i>
      <x v="1"/>
    </i>
    <i>
      <x v="2"/>
    </i>
    <i>
      <x v="3"/>
    </i>
    <i>
      <x v="4"/>
    </i>
    <i>
      <x v="5"/>
    </i>
    <i>
      <x v="6"/>
    </i>
    <i t="grand">
      <x/>
    </i>
  </rowItems>
  <colFields count="1">
    <field x="9"/>
  </colFields>
  <colItems count="3">
    <i>
      <x/>
    </i>
    <i>
      <x v="1"/>
    </i>
    <i t="grand">
      <x/>
    </i>
  </colItems>
  <dataFields count="1">
    <dataField name="Count of Name" fld="1" subtotal="count" baseField="0" baseItem="0"/>
  </dataFields>
  <chartFormats count="4">
    <chartFormat chart="22" format="0" series="1">
      <pivotArea type="data" outline="0" fieldPosition="0">
        <references count="2">
          <reference field="4294967294" count="1" selected="0">
            <x v="0"/>
          </reference>
          <reference field="9" count="1" selected="0">
            <x v="0"/>
          </reference>
        </references>
      </pivotArea>
    </chartFormat>
    <chartFormat chart="22" format="1" series="1">
      <pivotArea type="data" outline="0" fieldPosition="0">
        <references count="2">
          <reference field="4294967294" count="1" selected="0">
            <x v="0"/>
          </reference>
          <reference field="9" count="1" selected="0">
            <x v="1"/>
          </reference>
        </references>
      </pivotArea>
    </chartFormat>
    <chartFormat chart="28" format="4" series="1">
      <pivotArea type="data" outline="0" fieldPosition="0">
        <references count="2">
          <reference field="4294967294" count="1" selected="0">
            <x v="0"/>
          </reference>
          <reference field="9" count="1" selected="0">
            <x v="0"/>
          </reference>
        </references>
      </pivotArea>
    </chartFormat>
    <chartFormat chart="28"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2C4FC0-E227-4801-BC08-3AD614A254D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1" firstDataRow="2" firstDataCol="1"/>
  <pivotFields count="15">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0"/>
        <item x="1"/>
        <item t="default"/>
      </items>
    </pivotField>
    <pivotField numFmtId="14" showAll="0"/>
    <pivotField numFmtId="14" showAll="0"/>
    <pivotField axis="axisRow" showAll="0">
      <items count="8">
        <item x="3"/>
        <item x="5"/>
        <item x="4"/>
        <item x="6"/>
        <item x="1"/>
        <item x="2"/>
        <item x="0"/>
        <item t="default"/>
      </items>
    </pivotField>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s>
  <rowFields count="1">
    <field x="6"/>
  </rowFields>
  <rowItems count="8">
    <i>
      <x/>
    </i>
    <i>
      <x v="1"/>
    </i>
    <i>
      <x v="2"/>
    </i>
    <i>
      <x v="3"/>
    </i>
    <i>
      <x v="4"/>
    </i>
    <i>
      <x v="5"/>
    </i>
    <i>
      <x v="6"/>
    </i>
    <i t="grand">
      <x/>
    </i>
  </rowItems>
  <colFields count="1">
    <field x="9"/>
  </colFields>
  <colItems count="3">
    <i>
      <x/>
    </i>
    <i>
      <x v="1"/>
    </i>
    <i t="grand">
      <x/>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6DDE8E-91CF-4444-8851-019C903AAD22}"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22:F30" firstHeaderRow="1" firstDataRow="1" firstDataCol="1"/>
  <pivotFields count="15">
    <pivotField showAll="0"/>
    <pivotField showAll="0"/>
    <pivotField showAll="0"/>
    <pivotField showAll="0">
      <items count="3">
        <item x="0"/>
        <item x="1"/>
        <item t="default"/>
      </items>
    </pivotField>
    <pivotField numFmtId="14" showAll="0"/>
    <pivotField numFmtId="14" showAll="0"/>
    <pivotField showAll="0">
      <items count="8">
        <item x="3"/>
        <item x="5"/>
        <item x="4"/>
        <item x="6"/>
        <item x="1"/>
        <item x="2"/>
        <item x="0"/>
        <item t="default"/>
      </items>
    </pivotField>
    <pivotField showAll="0"/>
    <pivotField dataField="1" showAll="0"/>
    <pivotField showAll="0"/>
    <pivotField axis="axisRow" showAll="0">
      <items count="8">
        <item x="5"/>
        <item x="4"/>
        <item x="6"/>
        <item x="0"/>
        <item x="2"/>
        <item x="3"/>
        <item x="1"/>
        <item t="default"/>
      </items>
    </pivotField>
    <pivotField showAll="0"/>
    <pivotField showAll="0">
      <items count="4">
        <item x="2"/>
        <item x="1"/>
        <item x="0"/>
        <item t="default"/>
      </items>
    </pivotField>
    <pivotField showAll="0"/>
    <pivotField showAll="0"/>
  </pivotFields>
  <rowFields count="1">
    <field x="10"/>
  </rowFields>
  <rowItems count="8">
    <i>
      <x/>
    </i>
    <i>
      <x v="1"/>
    </i>
    <i>
      <x v="2"/>
    </i>
    <i>
      <x v="3"/>
    </i>
    <i>
      <x v="4"/>
    </i>
    <i>
      <x v="5"/>
    </i>
    <i>
      <x v="6"/>
    </i>
    <i t="grand">
      <x/>
    </i>
  </rowItems>
  <colItems count="1">
    <i/>
  </colItems>
  <dataFields count="1">
    <dataField name="Sum of Treatment Cos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04BE67-C792-4DE0-AE4B-36098704B85E}"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25" firstHeaderRow="1" firstDataRow="1" firstDataCol="1"/>
  <pivotFields count="15">
    <pivotField showAll="0"/>
    <pivotField showAll="0"/>
    <pivotField showAll="0"/>
    <pivotField showAll="0">
      <items count="3">
        <item x="0"/>
        <item x="1"/>
        <item t="default"/>
      </items>
    </pivotField>
    <pivotField numFmtId="14" showAll="0"/>
    <pivotField numFmtId="14" showAll="0"/>
    <pivotField showAll="0">
      <items count="8">
        <item x="3"/>
        <item x="5"/>
        <item x="4"/>
        <item x="6"/>
        <item x="1"/>
        <item x="2"/>
        <item x="0"/>
        <item t="default"/>
      </items>
    </pivotField>
    <pivotField showAll="0"/>
    <pivotField dataField="1" showAll="0"/>
    <pivotField showAll="0"/>
    <pivotField axis="axisRow" showAll="0">
      <items count="8">
        <item x="5"/>
        <item x="4"/>
        <item x="6"/>
        <item x="0"/>
        <item x="2"/>
        <item x="3"/>
        <item x="1"/>
        <item t="default"/>
      </items>
    </pivotField>
    <pivotField showAll="0"/>
    <pivotField showAll="0">
      <items count="4">
        <item x="2"/>
        <item x="1"/>
        <item x="0"/>
        <item t="default"/>
      </items>
    </pivotField>
    <pivotField showAll="0"/>
    <pivotField showAll="0"/>
  </pivotFields>
  <rowFields count="1">
    <field x="10"/>
  </rowFields>
  <rowItems count="8">
    <i>
      <x/>
    </i>
    <i>
      <x v="1"/>
    </i>
    <i>
      <x v="2"/>
    </i>
    <i>
      <x v="3"/>
    </i>
    <i>
      <x v="4"/>
    </i>
    <i>
      <x v="5"/>
    </i>
    <i>
      <x v="6"/>
    </i>
    <i t="grand">
      <x/>
    </i>
  </rowItems>
  <colItems count="1">
    <i/>
  </colItems>
  <dataFields count="1">
    <dataField name="Sum of Treatment Cos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ACBFD0-7BC4-4869-B23B-34186567DD45}"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B44" firstHeaderRow="1" firstDataRow="1" firstDataCol="1"/>
  <pivotFields count="15">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0"/>
        <item x="1"/>
        <item t="default"/>
      </items>
    </pivotField>
    <pivotField numFmtId="14" showAll="0"/>
    <pivotField numFmtId="14" showAll="0"/>
    <pivotField showAll="0">
      <items count="8">
        <item x="3"/>
        <item x="5"/>
        <item x="4"/>
        <item x="6"/>
        <item x="1"/>
        <item x="2"/>
        <item x="0"/>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s>
  <rowFields count="1">
    <field x="12"/>
  </rowFields>
  <rowItems count="4">
    <i>
      <x/>
    </i>
    <i>
      <x v="1"/>
    </i>
    <i>
      <x v="2"/>
    </i>
    <i t="grand">
      <x/>
    </i>
  </rowItems>
  <colItems count="1">
    <i/>
  </colItems>
  <dataFields count="1">
    <dataField name="Count of Patient I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298756-36DD-46D3-941B-135875C9781E}"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76:S77" firstHeaderRow="1" firstDataRow="1" firstDataCol="0"/>
  <pivotFields count="15">
    <pivotField showAll="0"/>
    <pivotField showAll="0"/>
    <pivotField showAll="0"/>
    <pivotField showAll="0">
      <items count="3">
        <item x="0"/>
        <item x="1"/>
        <item t="default"/>
      </items>
    </pivotField>
    <pivotField numFmtId="14" showAll="0"/>
    <pivotField numFmtId="14" showAll="0"/>
    <pivotField showAll="0">
      <items count="8">
        <item x="3"/>
        <item x="5"/>
        <item x="4"/>
        <item x="6"/>
        <item x="1"/>
        <item x="2"/>
        <item x="0"/>
        <item t="default"/>
      </items>
    </pivotField>
    <pivotField showAll="0"/>
    <pivotField dataField="1" showAll="0"/>
    <pivotField showAll="0"/>
    <pivotField showAll="0"/>
    <pivotField showAll="0"/>
    <pivotField showAll="0">
      <items count="4">
        <item x="2"/>
        <item x="1"/>
        <item x="0"/>
        <item t="default"/>
      </items>
    </pivotField>
    <pivotField showAll="0"/>
    <pivotField showAll="0"/>
  </pivotFields>
  <rowItems count="1">
    <i/>
  </rowItems>
  <colItems count="1">
    <i/>
  </colItems>
  <dataFields count="1">
    <dataField name="Sum of Treatment Cost" fld="8" baseField="0" baseItem="0"/>
  </dataFields>
  <formats count="2">
    <format dxfId="58">
      <pivotArea outline="0" collapsedLevelsAreSubtotals="1" fieldPosition="0"/>
    </format>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DFB922-0DA4-4082-A52F-F9E4D1D1654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1" firstDataRow="2" firstDataCol="1"/>
  <pivotFields count="15">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0"/>
        <item x="1"/>
        <item t="default"/>
      </items>
    </pivotField>
    <pivotField numFmtId="14" showAll="0"/>
    <pivotField numFmtId="14" showAll="0"/>
    <pivotField axis="axisRow" showAll="0">
      <items count="8">
        <item x="3"/>
        <item x="5"/>
        <item x="4"/>
        <item x="6"/>
        <item x="1"/>
        <item x="2"/>
        <item x="0"/>
        <item t="default"/>
      </items>
    </pivotField>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s>
  <rowFields count="1">
    <field x="6"/>
  </rowFields>
  <rowItems count="8">
    <i>
      <x/>
    </i>
    <i>
      <x v="1"/>
    </i>
    <i>
      <x v="2"/>
    </i>
    <i>
      <x v="3"/>
    </i>
    <i>
      <x v="4"/>
    </i>
    <i>
      <x v="5"/>
    </i>
    <i>
      <x v="6"/>
    </i>
    <i t="grand">
      <x/>
    </i>
  </rowItems>
  <colFields count="1">
    <field x="9"/>
  </colFields>
  <colItems count="3">
    <i>
      <x/>
    </i>
    <i>
      <x v="1"/>
    </i>
    <i t="grand">
      <x/>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B60DC9-2F91-4864-B66A-630D1E38356F}"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1:B59" firstHeaderRow="1" firstDataRow="1" firstDataCol="1"/>
  <pivotFields count="15">
    <pivotField showAll="0"/>
    <pivotField showAll="0"/>
    <pivotField showAll="0"/>
    <pivotField showAll="0">
      <items count="3">
        <item x="0"/>
        <item x="1"/>
        <item t="default"/>
      </items>
    </pivotField>
    <pivotField numFmtId="14" showAll="0"/>
    <pivotField numFmtId="14" showAll="0"/>
    <pivotField axis="axisRow" showAll="0">
      <items count="8">
        <item x="3"/>
        <item x="5"/>
        <item x="4"/>
        <item x="6"/>
        <item x="1"/>
        <item x="2"/>
        <item x="0"/>
        <item t="default"/>
      </items>
    </pivotField>
    <pivotField showAll="0"/>
    <pivotField showAll="0"/>
    <pivotField showAll="0"/>
    <pivotField showAll="0"/>
    <pivotField showAll="0"/>
    <pivotField showAll="0">
      <items count="4">
        <item x="2"/>
        <item x="1"/>
        <item x="0"/>
        <item t="default"/>
      </items>
    </pivotField>
    <pivotField dataField="1" showAll="0"/>
    <pivotField showAll="0"/>
  </pivotFields>
  <rowFields count="1">
    <field x="6"/>
  </rowFields>
  <rowItems count="8">
    <i>
      <x/>
    </i>
    <i>
      <x v="1"/>
    </i>
    <i>
      <x v="2"/>
    </i>
    <i>
      <x v="3"/>
    </i>
    <i>
      <x v="4"/>
    </i>
    <i>
      <x v="5"/>
    </i>
    <i>
      <x v="6"/>
    </i>
    <i t="grand">
      <x/>
    </i>
  </rowItems>
  <colItems count="1">
    <i/>
  </colItems>
  <dataFields count="1">
    <dataField name="Average of Length of Stay (Days)" fld="13" subtotal="average" baseField="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682DA27-C9F2-4298-97D8-C05CAA71714C}"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0:B34" firstHeaderRow="1" firstDataRow="1" firstDataCol="1"/>
  <pivotFields count="15">
    <pivotField showAll="0"/>
    <pivotField showAll="0"/>
    <pivotField showAll="0"/>
    <pivotField showAll="0">
      <items count="3">
        <item x="0"/>
        <item x="1"/>
        <item t="default"/>
      </items>
    </pivotField>
    <pivotField numFmtId="14" showAll="0"/>
    <pivotField numFmtId="14" showAll="0"/>
    <pivotField showAll="0">
      <items count="8">
        <item x="3"/>
        <item x="5"/>
        <item x="4"/>
        <item x="6"/>
        <item x="1"/>
        <item x="2"/>
        <item x="0"/>
        <item t="default"/>
      </items>
    </pivotField>
    <pivotField showAll="0"/>
    <pivotField showAll="0"/>
    <pivotField showAll="0"/>
    <pivotField showAll="0"/>
    <pivotField showAll="0"/>
    <pivotField axis="axisRow" showAll="0">
      <items count="4">
        <item x="2"/>
        <item x="1"/>
        <item x="0"/>
        <item t="default"/>
      </items>
    </pivotField>
    <pivotField dataField="1" showAll="0"/>
    <pivotField showAll="0"/>
  </pivotFields>
  <rowFields count="1">
    <field x="12"/>
  </rowFields>
  <rowItems count="4">
    <i>
      <x/>
    </i>
    <i>
      <x v="1"/>
    </i>
    <i>
      <x v="2"/>
    </i>
    <i t="grand">
      <x/>
    </i>
  </rowItems>
  <colItems count="1">
    <i/>
  </colItems>
  <dataFields count="1">
    <dataField name="Average of Length of Stay (Days)" fld="13" subtotal="average" baseField="1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CCD9209-5BAD-4EDC-806D-4F5D0473DB13}"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8:P36" firstHeaderRow="1" firstDataRow="1" firstDataCol="1"/>
  <pivotFields count="15">
    <pivotField showAll="0"/>
    <pivotField showAll="0"/>
    <pivotField showAll="0"/>
    <pivotField showAll="0">
      <items count="3">
        <item x="0"/>
        <item x="1"/>
        <item t="default"/>
      </items>
    </pivotField>
    <pivotField numFmtId="14" showAll="0"/>
    <pivotField numFmtId="14" showAll="0"/>
    <pivotField axis="axisRow" showAll="0">
      <items count="8">
        <item x="3"/>
        <item x="5"/>
        <item x="4"/>
        <item x="6"/>
        <item x="1"/>
        <item x="2"/>
        <item x="0"/>
        <item t="default"/>
      </items>
    </pivotField>
    <pivotField showAll="0"/>
    <pivotField dataField="1" showAll="0"/>
    <pivotField showAll="0"/>
    <pivotField showAll="0"/>
    <pivotField showAll="0"/>
    <pivotField showAll="0">
      <items count="4">
        <item x="2"/>
        <item x="1"/>
        <item x="0"/>
        <item t="default"/>
      </items>
    </pivotField>
    <pivotField showAll="0"/>
    <pivotField showAll="0"/>
  </pivotFields>
  <rowFields count="1">
    <field x="6"/>
  </rowFields>
  <rowItems count="8">
    <i>
      <x/>
    </i>
    <i>
      <x v="1"/>
    </i>
    <i>
      <x v="2"/>
    </i>
    <i>
      <x v="3"/>
    </i>
    <i>
      <x v="4"/>
    </i>
    <i>
      <x v="5"/>
    </i>
    <i>
      <x v="6"/>
    </i>
    <i t="grand">
      <x/>
    </i>
  </rowItems>
  <colItems count="1">
    <i/>
  </colItems>
  <dataFields count="1">
    <dataField name="Sum of Treatment Cos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EC8C5A-D2F2-4AFF-9C87-F371C878E80E}"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5:B68" firstHeaderRow="1" firstDataRow="1" firstDataCol="1"/>
  <pivotFields count="15">
    <pivotField showAll="0"/>
    <pivotField showAll="0"/>
    <pivotField showAll="0"/>
    <pivotField showAll="0">
      <items count="3">
        <item x="0"/>
        <item x="1"/>
        <item t="default"/>
      </items>
    </pivotField>
    <pivotField numFmtId="14" showAll="0"/>
    <pivotField numFmtId="14" showAll="0"/>
    <pivotField showAll="0">
      <items count="8">
        <item x="3"/>
        <item x="5"/>
        <item x="4"/>
        <item x="6"/>
        <item x="1"/>
        <item x="2"/>
        <item x="0"/>
        <item t="default"/>
      </items>
    </pivotField>
    <pivotField showAll="0"/>
    <pivotField showAll="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s>
  <rowFields count="1">
    <field x="9"/>
  </rowFields>
  <rowItems count="3">
    <i>
      <x/>
    </i>
    <i>
      <x v="1"/>
    </i>
    <i t="grand">
      <x/>
    </i>
  </rowItems>
  <colItems count="1">
    <i/>
  </colItems>
  <dataFields count="1">
    <dataField name="Count of Billing Status" fld="9"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6A6A3832-9D3E-488D-922A-599123A16C6B}" sourceName="Diagnosis">
  <pivotTables>
    <pivotTable tabId="2" name="PivotTable2"/>
  </pivotTables>
  <data>
    <tabular pivotCacheId="238890753">
      <items count="10">
        <i x="3" s="1"/>
        <i x="9" s="1"/>
        <i x="2" s="1"/>
        <i x="8" s="1"/>
        <i x="4" s="1"/>
        <i x="1" s="1"/>
        <i x="5" s="1"/>
        <i x="7"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F73AE2F-AE47-45EC-A95E-F2BB79C8EBC7}" sourceName="Gender">
  <pivotTables>
    <pivotTable tabId="4" name="PivotTable2"/>
    <pivotTable tabId="2" name="PivotTable1"/>
    <pivotTable tabId="2" name="PivotTable2"/>
    <pivotTable tabId="2" name="PivotTable4"/>
    <pivotTable tabId="2" name="PivotTable5"/>
    <pivotTable tabId="2" name="PivotTable6"/>
    <pivotTable tabId="3" name="PivotTable1"/>
    <pivotTable tabId="3" name="PivotTable2"/>
    <pivotTable tabId="4" name="PivotTable1"/>
    <pivotTable tabId="4" name="PivotTable3"/>
    <pivotTable tabId="4" name="PivotTable4"/>
    <pivotTable tabId="4" name="PivotTable5"/>
    <pivotTable tabId="4" name="PivotTable6"/>
    <pivotTable tabId="4" name="PivotTable7"/>
    <pivotTable tabId="2" name="PivotTable3"/>
    <pivotTable tabId="4" name="PivotTable8"/>
  </pivotTables>
  <data>
    <tabular pivotCacheId="23889075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579604CF-6AFB-4383-B3E0-B853AF7C0F83}" sourceName="Department">
  <pivotTables>
    <pivotTable tabId="4" name="PivotTable2"/>
    <pivotTable tabId="2" name="PivotTable1"/>
    <pivotTable tabId="2" name="PivotTable2"/>
    <pivotTable tabId="2" name="PivotTable3"/>
    <pivotTable tabId="2" name="PivotTable4"/>
    <pivotTable tabId="2" name="PivotTable5"/>
    <pivotTable tabId="2" name="PivotTable6"/>
    <pivotTable tabId="3" name="PivotTable1"/>
    <pivotTable tabId="3" name="PivotTable2"/>
    <pivotTable tabId="4" name="PivotTable1"/>
    <pivotTable tabId="4" name="PivotTable3"/>
    <pivotTable tabId="4" name="PivotTable4"/>
    <pivotTable tabId="4" name="PivotTable5"/>
    <pivotTable tabId="4" name="PivotTable6"/>
    <pivotTable tabId="4" name="PivotTable7"/>
    <pivotTable tabId="4" name="PivotTable8"/>
  </pivotTables>
  <data>
    <tabular pivotCacheId="238890753">
      <items count="7">
        <i x="3" s="1"/>
        <i x="5" s="1"/>
        <i x="4" s="1"/>
        <i x="6"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1" xr10:uid="{CCFC1A31-D214-4CBC-910B-2DDEA711BC89}" sourceName="Room Type">
  <pivotTables>
    <pivotTable tabId="4" name="PivotTable6"/>
    <pivotTable tabId="2" name="PivotTable1"/>
    <pivotTable tabId="2" name="PivotTable2"/>
    <pivotTable tabId="2" name="PivotTable3"/>
    <pivotTable tabId="2" name="PivotTable4"/>
    <pivotTable tabId="2" name="PivotTable5"/>
    <pivotTable tabId="2" name="PivotTable6"/>
    <pivotTable tabId="3" name="PivotTable1"/>
    <pivotTable tabId="3" name="PivotTable2"/>
    <pivotTable tabId="4" name="PivotTable1"/>
    <pivotTable tabId="4" name="PivotTable2"/>
    <pivotTable tabId="4" name="PivotTable3"/>
    <pivotTable tabId="4" name="PivotTable4"/>
    <pivotTable tabId="4" name="PivotTable5"/>
    <pivotTable tabId="4" name="PivotTable7"/>
    <pivotTable tabId="4" name="PivotTable8"/>
  </pivotTables>
  <data>
    <tabular pivotCacheId="23889075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xr10:uid="{D3F0F2B2-8244-47F3-B801-225DE7F504AB}" cache="Slicer_Diagnosis" caption="Diagnosis" style="SlicerStyleLight2" rowHeight="247650"/>
  <slicer name="Department" xr10:uid="{80CA52DC-474C-42BF-84C1-48CB865F5386}" cache="Slicer_Department1" caption="Department" style="SlicerStyleLight2" rowHeight="247650"/>
  <slicer name="Room Type" xr10:uid="{4307659D-0430-4772-9265-00BBFB3F9C77}" cache="Slicer_Room_Type1" caption="Room Type"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80FFDEF-E63A-4465-BAF9-494A026F4A24}" cache="Slicer_Gender" caption="Gender" rowHeight="247650"/>
  <slicer name="Department 1" xr10:uid="{BC4ACA7A-7CCF-4D98-9E11-0A89D6D7689C}" cache="Slicer_Department1" caption="Department" rowHeight="247650"/>
  <slicer name="Room Type 1" xr10:uid="{5D2F66F9-C7A6-4AC3-B2B0-67DCC4EACDD1}" cache="Slicer_Room_Type1" caption="Room Typ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microsoft.com/office/2007/relationships/slicer" Target="../slicers/slicer2.xml"/><Relationship Id="rId5" Type="http://schemas.openxmlformats.org/officeDocument/2006/relationships/pivotTable" Target="../pivotTables/pivotTable13.xml"/><Relationship Id="rId10" Type="http://schemas.openxmlformats.org/officeDocument/2006/relationships/drawing" Target="../drawings/drawing3.xml"/><Relationship Id="rId4" Type="http://schemas.openxmlformats.org/officeDocument/2006/relationships/pivotTable" Target="../pivotTables/pivotTable12.xm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088D4-D0AF-429C-90C8-A90784F012D5}">
  <dimension ref="A1:T73"/>
  <sheetViews>
    <sheetView zoomScale="85" zoomScaleNormal="85" workbookViewId="0">
      <selection activeCell="C47" sqref="C47:L48"/>
    </sheetView>
  </sheetViews>
  <sheetFormatPr defaultRowHeight="14.4" x14ac:dyDescent="0.3"/>
  <cols>
    <col min="1" max="1" width="13" bestFit="1" customWidth="1"/>
    <col min="2" max="2" width="28.44140625" bestFit="1" customWidth="1"/>
    <col min="3" max="3" width="7" bestFit="1" customWidth="1"/>
    <col min="4" max="4" width="10.5546875" bestFit="1" customWidth="1"/>
    <col min="13" max="13" width="15.5546875" bestFit="1" customWidth="1"/>
    <col min="14" max="14" width="13" bestFit="1" customWidth="1"/>
    <col min="15" max="15" width="20.6640625" bestFit="1" customWidth="1"/>
    <col min="16" max="16" width="19.88671875" bestFit="1" customWidth="1"/>
    <col min="17" max="17" width="10" bestFit="1" customWidth="1"/>
    <col min="18" max="18" width="15.33203125" bestFit="1" customWidth="1"/>
    <col min="19" max="19" width="9.33203125" bestFit="1" customWidth="1"/>
    <col min="20" max="20" width="11.33203125" bestFit="1" customWidth="1"/>
    <col min="21" max="21" width="9.5546875" bestFit="1" customWidth="1"/>
    <col min="22" max="22" width="19.21875" bestFit="1" customWidth="1"/>
    <col min="23" max="23" width="11.5546875" bestFit="1" customWidth="1"/>
    <col min="24" max="24" width="4.21875" bestFit="1" customWidth="1"/>
    <col min="25" max="25" width="15.33203125" bestFit="1" customWidth="1"/>
    <col min="26" max="26" width="9.33203125" bestFit="1" customWidth="1"/>
    <col min="27" max="27" width="11.33203125" bestFit="1" customWidth="1"/>
    <col min="28" max="28" width="9.5546875" bestFit="1" customWidth="1"/>
    <col min="29" max="29" width="24.44140625" bestFit="1" customWidth="1"/>
    <col min="30" max="30" width="23.77734375" bestFit="1" customWidth="1"/>
  </cols>
  <sheetData>
    <row r="1" spans="1:17" x14ac:dyDescent="0.3">
      <c r="A1" s="3" t="s">
        <v>2051</v>
      </c>
      <c r="C1" s="14" t="s">
        <v>2050</v>
      </c>
      <c r="D1" s="14"/>
      <c r="E1" s="14"/>
      <c r="F1" s="14"/>
      <c r="G1" s="14"/>
      <c r="M1" s="15" t="s">
        <v>2060</v>
      </c>
      <c r="N1" s="15"/>
      <c r="O1" s="15"/>
      <c r="P1" s="15"/>
      <c r="Q1" s="15"/>
    </row>
    <row r="3" spans="1:17" x14ac:dyDescent="0.3">
      <c r="A3" s="4" t="s">
        <v>2049</v>
      </c>
      <c r="B3" s="4" t="s">
        <v>2048</v>
      </c>
      <c r="M3" s="4" t="s">
        <v>2046</v>
      </c>
      <c r="N3" t="s">
        <v>2049</v>
      </c>
    </row>
    <row r="4" spans="1:17" x14ac:dyDescent="0.3">
      <c r="A4" s="4" t="s">
        <v>2046</v>
      </c>
      <c r="B4" t="s">
        <v>34</v>
      </c>
      <c r="C4" t="s">
        <v>19</v>
      </c>
      <c r="D4" t="s">
        <v>2047</v>
      </c>
      <c r="M4" s="5" t="s">
        <v>50</v>
      </c>
      <c r="N4" s="23">
        <v>321</v>
      </c>
    </row>
    <row r="5" spans="1:17" x14ac:dyDescent="0.3">
      <c r="A5" s="5" t="s">
        <v>43</v>
      </c>
      <c r="B5" s="23">
        <v>87</v>
      </c>
      <c r="C5" s="23">
        <v>83</v>
      </c>
      <c r="D5" s="23">
        <v>170</v>
      </c>
      <c r="M5" s="5" t="s">
        <v>29</v>
      </c>
      <c r="N5" s="23">
        <v>339</v>
      </c>
    </row>
    <row r="6" spans="1:17" x14ac:dyDescent="0.3">
      <c r="A6" s="5" t="s">
        <v>66</v>
      </c>
      <c r="B6" s="23">
        <v>81</v>
      </c>
      <c r="C6" s="23">
        <v>63</v>
      </c>
      <c r="D6" s="23">
        <v>144</v>
      </c>
      <c r="M6" s="5" t="s">
        <v>22</v>
      </c>
      <c r="N6" s="23">
        <v>340</v>
      </c>
    </row>
    <row r="7" spans="1:17" x14ac:dyDescent="0.3">
      <c r="A7" s="5" t="s">
        <v>62</v>
      </c>
      <c r="B7" s="23">
        <v>55</v>
      </c>
      <c r="C7" s="23">
        <v>78</v>
      </c>
      <c r="D7" s="23">
        <v>133</v>
      </c>
      <c r="M7" s="5" t="s">
        <v>2047</v>
      </c>
      <c r="N7" s="23">
        <v>1000</v>
      </c>
    </row>
    <row r="8" spans="1:17" x14ac:dyDescent="0.3">
      <c r="A8" s="5" t="s">
        <v>94</v>
      </c>
      <c r="B8" s="23">
        <v>71</v>
      </c>
      <c r="C8" s="23">
        <v>79</v>
      </c>
      <c r="D8" s="23">
        <v>150</v>
      </c>
    </row>
    <row r="9" spans="1:17" x14ac:dyDescent="0.3">
      <c r="A9" s="5" t="s">
        <v>26</v>
      </c>
      <c r="B9" s="23">
        <v>62</v>
      </c>
      <c r="C9" s="23">
        <v>72</v>
      </c>
      <c r="D9" s="23">
        <v>134</v>
      </c>
    </row>
    <row r="10" spans="1:17" x14ac:dyDescent="0.3">
      <c r="A10" s="5" t="s">
        <v>32</v>
      </c>
      <c r="B10" s="23">
        <v>82</v>
      </c>
      <c r="C10" s="23">
        <v>64</v>
      </c>
      <c r="D10" s="23">
        <v>146</v>
      </c>
    </row>
    <row r="11" spans="1:17" x14ac:dyDescent="0.3">
      <c r="A11" s="5" t="s">
        <v>17</v>
      </c>
      <c r="B11" s="23">
        <v>58</v>
      </c>
      <c r="C11" s="23">
        <v>65</v>
      </c>
      <c r="D11" s="23">
        <v>123</v>
      </c>
    </row>
    <row r="12" spans="1:17" x14ac:dyDescent="0.3">
      <c r="A12" s="5" t="s">
        <v>2047</v>
      </c>
      <c r="B12" s="23">
        <v>496</v>
      </c>
      <c r="C12" s="23">
        <v>504</v>
      </c>
      <c r="D12" s="23">
        <v>1000</v>
      </c>
    </row>
    <row r="14" spans="1:17" x14ac:dyDescent="0.3">
      <c r="A14" s="7" t="s">
        <v>2052</v>
      </c>
    </row>
    <row r="16" spans="1:17" x14ac:dyDescent="0.3">
      <c r="B16" s="15" t="s">
        <v>2053</v>
      </c>
      <c r="C16" s="15"/>
      <c r="D16" s="15"/>
      <c r="E16" s="15"/>
    </row>
    <row r="18" spans="1:17" x14ac:dyDescent="0.3">
      <c r="A18" s="4" t="s">
        <v>2046</v>
      </c>
      <c r="B18" t="s">
        <v>2054</v>
      </c>
    </row>
    <row r="19" spans="1:17" x14ac:dyDescent="0.3">
      <c r="A19" s="5" t="s">
        <v>54</v>
      </c>
      <c r="B19" s="23">
        <v>821610</v>
      </c>
      <c r="M19" s="15" t="s">
        <v>2061</v>
      </c>
      <c r="N19" s="15"/>
      <c r="O19" s="15"/>
      <c r="P19" s="15"/>
      <c r="Q19" s="15"/>
    </row>
    <row r="20" spans="1:17" x14ac:dyDescent="0.3">
      <c r="A20" s="5" t="s">
        <v>49</v>
      </c>
      <c r="B20" s="23">
        <v>796892</v>
      </c>
    </row>
    <row r="21" spans="1:17" x14ac:dyDescent="0.3">
      <c r="A21" s="5" t="s">
        <v>133</v>
      </c>
      <c r="B21" s="23">
        <v>835936</v>
      </c>
    </row>
    <row r="22" spans="1:17" x14ac:dyDescent="0.3">
      <c r="A22" s="5" t="s">
        <v>20</v>
      </c>
      <c r="B22" s="23">
        <v>774395</v>
      </c>
      <c r="M22" s="4" t="s">
        <v>2046</v>
      </c>
      <c r="N22" t="s">
        <v>2055</v>
      </c>
    </row>
    <row r="23" spans="1:17" x14ac:dyDescent="0.3">
      <c r="A23" s="5" t="s">
        <v>40</v>
      </c>
      <c r="B23" s="23">
        <v>966996</v>
      </c>
      <c r="M23" s="5" t="s">
        <v>43</v>
      </c>
      <c r="N23" s="23">
        <v>7.5470588235294116</v>
      </c>
    </row>
    <row r="24" spans="1:17" x14ac:dyDescent="0.3">
      <c r="A24" s="5" t="s">
        <v>44</v>
      </c>
      <c r="B24" s="23">
        <v>671044</v>
      </c>
      <c r="M24" s="5" t="s">
        <v>66</v>
      </c>
      <c r="N24" s="23">
        <v>7.2152777777777777</v>
      </c>
    </row>
    <row r="25" spans="1:17" x14ac:dyDescent="0.3">
      <c r="A25" s="5" t="s">
        <v>35</v>
      </c>
      <c r="B25" s="23">
        <v>719272</v>
      </c>
      <c r="M25" s="5" t="s">
        <v>62</v>
      </c>
      <c r="N25" s="23">
        <v>7.511278195488722</v>
      </c>
    </row>
    <row r="26" spans="1:17" x14ac:dyDescent="0.3">
      <c r="A26" s="5" t="s">
        <v>2047</v>
      </c>
      <c r="B26" s="23">
        <v>5586145</v>
      </c>
      <c r="M26" s="5" t="s">
        <v>94</v>
      </c>
      <c r="N26" s="23">
        <v>7.3666666666666663</v>
      </c>
    </row>
    <row r="27" spans="1:17" x14ac:dyDescent="0.3">
      <c r="M27" s="5" t="s">
        <v>26</v>
      </c>
      <c r="N27" s="23">
        <v>7.3656716417910451</v>
      </c>
    </row>
    <row r="28" spans="1:17" x14ac:dyDescent="0.3">
      <c r="A28" s="6" t="s">
        <v>2056</v>
      </c>
      <c r="C28" s="14" t="s">
        <v>2057</v>
      </c>
      <c r="D28" s="14"/>
      <c r="E28" s="14"/>
      <c r="F28" s="14"/>
      <c r="M28" s="5" t="s">
        <v>32</v>
      </c>
      <c r="N28" s="23">
        <v>7.5205479452054798</v>
      </c>
    </row>
    <row r="29" spans="1:17" x14ac:dyDescent="0.3">
      <c r="M29" s="5" t="s">
        <v>17</v>
      </c>
      <c r="N29" s="23">
        <v>7.975609756097561</v>
      </c>
    </row>
    <row r="30" spans="1:17" x14ac:dyDescent="0.3">
      <c r="M30" s="5" t="s">
        <v>2047</v>
      </c>
      <c r="N30" s="23">
        <v>7.492</v>
      </c>
    </row>
    <row r="31" spans="1:17" x14ac:dyDescent="0.3">
      <c r="A31" s="4" t="s">
        <v>2046</v>
      </c>
      <c r="B31" t="s">
        <v>2055</v>
      </c>
    </row>
    <row r="32" spans="1:17" x14ac:dyDescent="0.3">
      <c r="A32" s="5" t="s">
        <v>50</v>
      </c>
      <c r="B32" s="23">
        <v>7.3925233644859816</v>
      </c>
    </row>
    <row r="33" spans="1:20" x14ac:dyDescent="0.3">
      <c r="A33" s="5" t="s">
        <v>29</v>
      </c>
      <c r="B33" s="23">
        <v>7.6725663716814161</v>
      </c>
    </row>
    <row r="34" spans="1:20" x14ac:dyDescent="0.3">
      <c r="A34" s="5" t="s">
        <v>22</v>
      </c>
      <c r="B34" s="23">
        <v>7.4058823529411768</v>
      </c>
    </row>
    <row r="35" spans="1:20" x14ac:dyDescent="0.3">
      <c r="A35" s="5" t="s">
        <v>2047</v>
      </c>
      <c r="B35" s="23">
        <v>7.492</v>
      </c>
    </row>
    <row r="43" spans="1:20" x14ac:dyDescent="0.3">
      <c r="A43" s="3" t="s">
        <v>2058</v>
      </c>
    </row>
    <row r="46" spans="1:20" x14ac:dyDescent="0.3">
      <c r="A46" s="8"/>
      <c r="B46" s="8"/>
      <c r="C46" s="8"/>
      <c r="D46" s="8"/>
      <c r="E46" s="8"/>
      <c r="F46" s="8"/>
      <c r="G46" s="8"/>
      <c r="H46" s="8"/>
      <c r="I46" s="8"/>
      <c r="J46" s="8"/>
      <c r="K46" s="8"/>
      <c r="L46" s="8"/>
      <c r="M46" s="8"/>
      <c r="N46" s="9" t="s">
        <v>2046</v>
      </c>
      <c r="O46" s="10" t="s">
        <v>2054</v>
      </c>
      <c r="P46" s="10" t="s">
        <v>2062</v>
      </c>
      <c r="Q46" s="8"/>
      <c r="R46" s="8"/>
      <c r="S46" s="8"/>
      <c r="T46" s="8"/>
    </row>
    <row r="47" spans="1:20" ht="14.4" customHeight="1" x14ac:dyDescent="0.3">
      <c r="A47" s="8"/>
      <c r="B47" s="8"/>
      <c r="C47" s="16" t="s">
        <v>2059</v>
      </c>
      <c r="D47" s="17"/>
      <c r="E47" s="17"/>
      <c r="F47" s="17"/>
      <c r="G47" s="17"/>
      <c r="H47" s="17"/>
      <c r="I47" s="17"/>
      <c r="J47" s="17"/>
      <c r="K47" s="17"/>
      <c r="L47" s="18"/>
      <c r="M47" s="8"/>
      <c r="N47" s="11" t="s">
        <v>39</v>
      </c>
      <c r="O47" s="24">
        <v>482716</v>
      </c>
      <c r="P47" s="24">
        <v>86</v>
      </c>
      <c r="Q47" s="8"/>
      <c r="R47" s="8"/>
      <c r="S47" s="8"/>
      <c r="T47" s="8"/>
    </row>
    <row r="48" spans="1:20" ht="14.4" customHeight="1" x14ac:dyDescent="0.3">
      <c r="A48" s="8"/>
      <c r="B48" s="8"/>
      <c r="C48" s="19"/>
      <c r="D48" s="20"/>
      <c r="E48" s="20"/>
      <c r="F48" s="20"/>
      <c r="G48" s="20"/>
      <c r="H48" s="20"/>
      <c r="I48" s="20"/>
      <c r="J48" s="20"/>
      <c r="K48" s="20"/>
      <c r="L48" s="21"/>
      <c r="M48" s="8"/>
      <c r="N48" s="11" t="s">
        <v>89</v>
      </c>
      <c r="O48" s="24">
        <v>549755</v>
      </c>
      <c r="P48" s="24">
        <v>101</v>
      </c>
      <c r="Q48" s="8"/>
      <c r="R48" s="8"/>
      <c r="S48" s="8"/>
      <c r="T48" s="8"/>
    </row>
    <row r="49" spans="1:20" x14ac:dyDescent="0.3">
      <c r="A49" s="8"/>
      <c r="B49" s="8"/>
      <c r="C49" s="8"/>
      <c r="D49" s="8"/>
      <c r="E49" s="8"/>
      <c r="F49" s="8"/>
      <c r="G49" s="8"/>
      <c r="H49" s="8"/>
      <c r="I49" s="8"/>
      <c r="J49" s="8"/>
      <c r="K49" s="8"/>
      <c r="L49" s="8"/>
      <c r="M49" s="8"/>
      <c r="N49" s="11" t="s">
        <v>33</v>
      </c>
      <c r="O49" s="24">
        <v>587448</v>
      </c>
      <c r="P49" s="24">
        <v>109</v>
      </c>
      <c r="Q49" s="8"/>
      <c r="R49" s="8"/>
      <c r="S49" s="8"/>
      <c r="T49" s="8"/>
    </row>
    <row r="50" spans="1:20" x14ac:dyDescent="0.3">
      <c r="A50" s="8"/>
      <c r="B50" s="8"/>
      <c r="C50" s="8"/>
      <c r="D50" s="8"/>
      <c r="E50" s="8"/>
      <c r="F50" s="8"/>
      <c r="G50" s="8"/>
      <c r="H50" s="8"/>
      <c r="I50" s="8"/>
      <c r="J50" s="8"/>
      <c r="K50" s="8"/>
      <c r="L50" s="8"/>
      <c r="M50" s="8"/>
      <c r="N50" s="11" t="s">
        <v>73</v>
      </c>
      <c r="O50" s="24">
        <v>625343</v>
      </c>
      <c r="P50" s="24">
        <v>106</v>
      </c>
      <c r="Q50" s="8"/>
      <c r="R50" s="8"/>
      <c r="S50" s="8"/>
      <c r="T50" s="8"/>
    </row>
    <row r="51" spans="1:20" x14ac:dyDescent="0.3">
      <c r="A51" s="8"/>
      <c r="B51" s="8"/>
      <c r="C51" s="8"/>
      <c r="D51" s="8"/>
      <c r="E51" s="8"/>
      <c r="F51" s="8"/>
      <c r="G51" s="8"/>
      <c r="H51" s="8"/>
      <c r="I51" s="8"/>
      <c r="J51" s="8"/>
      <c r="K51" s="8"/>
      <c r="L51" s="8"/>
      <c r="M51" s="8"/>
      <c r="N51" s="11" t="s">
        <v>48</v>
      </c>
      <c r="O51" s="24">
        <v>601385</v>
      </c>
      <c r="P51" s="24">
        <v>105</v>
      </c>
      <c r="Q51" s="8"/>
      <c r="R51" s="8"/>
      <c r="S51" s="8"/>
      <c r="T51" s="8"/>
    </row>
    <row r="52" spans="1:20" x14ac:dyDescent="0.3">
      <c r="A52" s="8"/>
      <c r="B52" s="8"/>
      <c r="C52" s="8"/>
      <c r="D52" s="8"/>
      <c r="E52" s="8"/>
      <c r="F52" s="8"/>
      <c r="G52" s="8"/>
      <c r="H52" s="8"/>
      <c r="I52" s="8"/>
      <c r="J52" s="8"/>
      <c r="K52" s="8"/>
      <c r="L52" s="8"/>
      <c r="M52" s="8"/>
      <c r="N52" s="11" t="s">
        <v>27</v>
      </c>
      <c r="O52" s="24">
        <v>620769</v>
      </c>
      <c r="P52" s="24">
        <v>113</v>
      </c>
      <c r="Q52" s="8"/>
      <c r="R52" s="8"/>
      <c r="S52" s="8"/>
      <c r="T52" s="8"/>
    </row>
    <row r="53" spans="1:20" x14ac:dyDescent="0.3">
      <c r="A53" s="8"/>
      <c r="B53" s="8"/>
      <c r="C53" s="8"/>
      <c r="D53" s="8"/>
      <c r="E53" s="8"/>
      <c r="F53" s="8"/>
      <c r="G53" s="8"/>
      <c r="H53" s="8"/>
      <c r="I53" s="8"/>
      <c r="J53" s="8"/>
      <c r="K53" s="8"/>
      <c r="L53" s="8"/>
      <c r="M53" s="8"/>
      <c r="N53" s="11" t="s">
        <v>53</v>
      </c>
      <c r="O53" s="24">
        <v>577785</v>
      </c>
      <c r="P53" s="24">
        <v>107</v>
      </c>
      <c r="Q53" s="8"/>
      <c r="R53" s="8"/>
      <c r="S53" s="8"/>
      <c r="T53" s="8"/>
    </row>
    <row r="54" spans="1:20" x14ac:dyDescent="0.3">
      <c r="A54" s="8"/>
      <c r="B54" s="8"/>
      <c r="C54" s="8"/>
      <c r="D54" s="8"/>
      <c r="E54" s="8"/>
      <c r="F54" s="8"/>
      <c r="G54" s="8"/>
      <c r="H54" s="8"/>
      <c r="I54" s="8"/>
      <c r="J54" s="8"/>
      <c r="K54" s="8"/>
      <c r="L54" s="8"/>
      <c r="M54" s="8"/>
      <c r="N54" s="11" t="s">
        <v>63</v>
      </c>
      <c r="O54" s="24">
        <v>609234</v>
      </c>
      <c r="P54" s="24">
        <v>101</v>
      </c>
      <c r="Q54" s="8"/>
      <c r="R54" s="8"/>
      <c r="S54" s="8"/>
      <c r="T54" s="8"/>
    </row>
    <row r="55" spans="1:20" x14ac:dyDescent="0.3">
      <c r="A55" s="8"/>
      <c r="B55" s="8"/>
      <c r="C55" s="8"/>
      <c r="D55" s="8"/>
      <c r="E55" s="8"/>
      <c r="F55" s="8"/>
      <c r="G55" s="8"/>
      <c r="H55" s="8"/>
      <c r="I55" s="8"/>
      <c r="J55" s="8"/>
      <c r="K55" s="8"/>
      <c r="L55" s="8"/>
      <c r="M55" s="8"/>
      <c r="N55" s="11" t="s">
        <v>18</v>
      </c>
      <c r="O55" s="24">
        <v>529129</v>
      </c>
      <c r="P55" s="24">
        <v>95</v>
      </c>
      <c r="Q55" s="8"/>
      <c r="R55" s="8"/>
      <c r="S55" s="8"/>
      <c r="T55" s="8"/>
    </row>
    <row r="56" spans="1:20" x14ac:dyDescent="0.3">
      <c r="A56" s="8"/>
      <c r="B56" s="8"/>
      <c r="C56" s="8"/>
      <c r="D56" s="8"/>
      <c r="E56" s="8"/>
      <c r="F56" s="8"/>
      <c r="G56" s="8"/>
      <c r="H56" s="8"/>
      <c r="I56" s="8"/>
      <c r="J56" s="8"/>
      <c r="K56" s="8"/>
      <c r="L56" s="8"/>
      <c r="M56" s="8"/>
      <c r="N56" s="11" t="s">
        <v>58</v>
      </c>
      <c r="O56" s="24">
        <v>402581</v>
      </c>
      <c r="P56" s="24">
        <v>77</v>
      </c>
      <c r="Q56" s="8"/>
      <c r="R56" s="8"/>
      <c r="S56" s="8"/>
      <c r="T56" s="8"/>
    </row>
    <row r="57" spans="1:20" x14ac:dyDescent="0.3">
      <c r="A57" s="8"/>
      <c r="B57" s="8"/>
      <c r="C57" s="8"/>
      <c r="D57" s="8"/>
      <c r="E57" s="8"/>
      <c r="F57" s="8"/>
      <c r="G57" s="8"/>
      <c r="H57" s="8"/>
      <c r="I57" s="8"/>
      <c r="J57" s="8"/>
      <c r="K57" s="8"/>
      <c r="L57" s="8"/>
      <c r="M57" s="8"/>
      <c r="N57" s="11" t="s">
        <v>2047</v>
      </c>
      <c r="O57" s="24">
        <v>5586145</v>
      </c>
      <c r="P57" s="24">
        <v>1000</v>
      </c>
      <c r="Q57" s="8"/>
      <c r="R57" s="8"/>
      <c r="S57" s="8"/>
      <c r="T57" s="8"/>
    </row>
    <row r="58" spans="1:20" x14ac:dyDescent="0.3">
      <c r="A58" s="8"/>
      <c r="B58" s="8"/>
      <c r="C58" s="8"/>
      <c r="D58" s="8"/>
      <c r="E58" s="8"/>
      <c r="F58" s="8"/>
      <c r="G58" s="8"/>
      <c r="H58" s="8"/>
      <c r="I58" s="8"/>
      <c r="J58" s="8"/>
      <c r="K58" s="8"/>
      <c r="L58" s="8"/>
      <c r="M58" s="8"/>
      <c r="N58" s="8"/>
      <c r="O58" s="8"/>
      <c r="P58" s="8"/>
      <c r="Q58" s="8"/>
      <c r="R58" s="8"/>
      <c r="S58" s="8"/>
      <c r="T58" s="8"/>
    </row>
    <row r="59" spans="1:20" x14ac:dyDescent="0.3">
      <c r="A59" s="8"/>
      <c r="B59" s="8"/>
      <c r="C59" s="8"/>
      <c r="D59" s="8"/>
      <c r="E59" s="8"/>
      <c r="F59" s="8"/>
      <c r="G59" s="8"/>
      <c r="H59" s="8"/>
      <c r="I59" s="8"/>
      <c r="J59" s="8"/>
      <c r="K59" s="8"/>
      <c r="L59" s="8"/>
      <c r="M59" s="8"/>
      <c r="N59" s="8"/>
      <c r="O59" s="8"/>
      <c r="P59" s="8"/>
      <c r="Q59" s="8"/>
      <c r="R59" s="8"/>
      <c r="S59" s="8"/>
      <c r="T59" s="8"/>
    </row>
    <row r="60" spans="1:20" x14ac:dyDescent="0.3">
      <c r="A60" s="8"/>
      <c r="B60" s="8"/>
      <c r="C60" s="8"/>
      <c r="D60" s="8"/>
      <c r="E60" s="8"/>
      <c r="F60" s="8"/>
      <c r="G60" s="8"/>
      <c r="H60" s="8"/>
      <c r="I60" s="8"/>
      <c r="J60" s="8"/>
      <c r="K60" s="8"/>
      <c r="L60" s="8"/>
      <c r="M60" s="8"/>
      <c r="N60" s="8"/>
      <c r="O60" s="8"/>
      <c r="P60" s="8"/>
      <c r="Q60" s="8"/>
      <c r="R60" s="8"/>
      <c r="S60" s="8"/>
      <c r="T60" s="8"/>
    </row>
    <row r="61" spans="1:20" x14ac:dyDescent="0.3">
      <c r="A61" s="8"/>
      <c r="B61" s="8"/>
      <c r="C61" s="8"/>
      <c r="D61" s="8"/>
      <c r="E61" s="8"/>
      <c r="F61" s="8"/>
      <c r="G61" s="8"/>
      <c r="H61" s="8"/>
      <c r="I61" s="8"/>
      <c r="J61" s="8"/>
      <c r="K61" s="8"/>
      <c r="L61" s="8"/>
      <c r="M61" s="8"/>
      <c r="N61" s="8"/>
      <c r="O61" s="8"/>
      <c r="P61" s="8"/>
      <c r="Q61" s="8"/>
      <c r="R61" s="8"/>
      <c r="S61" s="8"/>
      <c r="T61" s="8"/>
    </row>
    <row r="62" spans="1:20" x14ac:dyDescent="0.3">
      <c r="A62" s="8"/>
      <c r="B62" s="8"/>
      <c r="C62" s="8"/>
      <c r="D62" s="8"/>
      <c r="E62" s="8"/>
      <c r="F62" s="8"/>
      <c r="G62" s="8"/>
      <c r="H62" s="8"/>
      <c r="I62" s="8"/>
      <c r="J62" s="8"/>
      <c r="K62" s="8"/>
      <c r="L62" s="8"/>
      <c r="M62" s="8"/>
      <c r="N62" s="8"/>
      <c r="O62" s="8"/>
      <c r="P62" s="8"/>
      <c r="Q62" s="8"/>
      <c r="R62" s="8"/>
      <c r="S62" s="8"/>
      <c r="T62" s="8"/>
    </row>
    <row r="63" spans="1:20" x14ac:dyDescent="0.3">
      <c r="A63" s="8"/>
      <c r="B63" s="8"/>
      <c r="C63" s="8"/>
      <c r="E63" s="8"/>
      <c r="F63" s="8"/>
      <c r="G63" s="8"/>
      <c r="H63" s="8"/>
      <c r="I63" s="8"/>
      <c r="J63" s="8"/>
      <c r="K63" s="8"/>
      <c r="L63" s="8"/>
      <c r="M63" s="8"/>
      <c r="N63" s="8"/>
      <c r="O63" s="8"/>
      <c r="P63" s="8"/>
      <c r="Q63" s="8"/>
      <c r="R63" s="8"/>
      <c r="S63" s="8"/>
      <c r="T63" s="8"/>
    </row>
    <row r="64" spans="1:20" x14ac:dyDescent="0.3">
      <c r="A64" s="8"/>
      <c r="B64" s="8"/>
      <c r="C64" s="8"/>
      <c r="D64" s="8"/>
      <c r="E64" s="8"/>
      <c r="F64" s="8"/>
      <c r="G64" s="8"/>
      <c r="H64" s="8"/>
      <c r="I64" s="8"/>
      <c r="J64" s="8"/>
      <c r="K64" s="8"/>
      <c r="L64" s="8"/>
      <c r="M64" s="8"/>
      <c r="N64" s="8"/>
      <c r="O64" s="8"/>
      <c r="P64" s="8"/>
      <c r="Q64" s="8"/>
      <c r="R64" s="8"/>
      <c r="S64" s="8"/>
      <c r="T64" s="8"/>
    </row>
    <row r="65" spans="1:20" x14ac:dyDescent="0.3">
      <c r="A65" s="8"/>
      <c r="B65" s="8"/>
      <c r="C65" s="8"/>
      <c r="D65" s="8"/>
      <c r="E65" s="8"/>
      <c r="F65" s="8"/>
      <c r="G65" s="8"/>
      <c r="H65" s="8"/>
      <c r="I65" s="8"/>
      <c r="J65" s="8"/>
      <c r="K65" s="8"/>
      <c r="L65" s="8"/>
      <c r="M65" s="8"/>
      <c r="N65" s="8"/>
      <c r="O65" s="8"/>
      <c r="P65" s="8"/>
      <c r="Q65" s="8"/>
      <c r="R65" s="8"/>
      <c r="S65" s="8"/>
      <c r="T65" s="8"/>
    </row>
    <row r="66" spans="1:20" x14ac:dyDescent="0.3">
      <c r="A66" s="8"/>
      <c r="B66" s="8"/>
      <c r="C66" s="8"/>
      <c r="D66" s="8"/>
      <c r="E66" s="8"/>
      <c r="F66" s="8"/>
      <c r="G66" s="8"/>
      <c r="H66" s="8"/>
      <c r="I66" s="8"/>
      <c r="J66" s="8"/>
      <c r="K66" s="8"/>
      <c r="L66" s="8"/>
      <c r="M66" s="8"/>
      <c r="N66" s="8"/>
      <c r="O66" s="8"/>
      <c r="P66" s="8"/>
      <c r="Q66" s="8"/>
      <c r="R66" s="8"/>
      <c r="S66" s="8"/>
      <c r="T66" s="8"/>
    </row>
    <row r="67" spans="1:20" x14ac:dyDescent="0.3">
      <c r="A67" s="8"/>
      <c r="B67" s="8"/>
      <c r="C67" s="8"/>
      <c r="D67" s="8"/>
      <c r="E67" s="8"/>
      <c r="F67" s="8"/>
      <c r="G67" s="8"/>
      <c r="H67" s="8"/>
      <c r="I67" s="8"/>
      <c r="J67" s="8"/>
      <c r="K67" s="8"/>
      <c r="L67" s="8"/>
      <c r="M67" s="8"/>
      <c r="N67" s="8"/>
      <c r="O67" s="8"/>
      <c r="P67" s="8"/>
      <c r="Q67" s="8"/>
      <c r="R67" s="8"/>
      <c r="S67" s="8"/>
      <c r="T67" s="8"/>
    </row>
    <row r="68" spans="1:20" x14ac:dyDescent="0.3">
      <c r="A68" s="8"/>
      <c r="B68" s="8"/>
      <c r="C68" s="8"/>
      <c r="D68" s="8"/>
      <c r="E68" s="8"/>
      <c r="F68" s="8"/>
      <c r="G68" s="8"/>
      <c r="H68" s="8"/>
      <c r="I68" s="8"/>
      <c r="J68" s="8"/>
      <c r="K68" s="8"/>
      <c r="L68" s="8"/>
      <c r="M68" s="8"/>
      <c r="N68" s="8"/>
      <c r="O68" s="8"/>
      <c r="P68" s="8"/>
      <c r="Q68" s="8"/>
      <c r="R68" s="8"/>
      <c r="S68" s="8"/>
      <c r="T68" s="8"/>
    </row>
    <row r="69" spans="1:20" x14ac:dyDescent="0.3">
      <c r="A69" s="8"/>
      <c r="B69" s="8"/>
      <c r="C69" s="8"/>
      <c r="D69" s="8"/>
      <c r="E69" s="8"/>
      <c r="F69" s="8"/>
      <c r="G69" s="8"/>
      <c r="H69" s="8"/>
      <c r="I69" s="8"/>
      <c r="J69" s="8"/>
      <c r="K69" s="8"/>
      <c r="L69" s="8"/>
      <c r="M69" s="8"/>
      <c r="N69" s="8"/>
      <c r="O69" s="8"/>
      <c r="P69" s="8"/>
      <c r="Q69" s="8"/>
      <c r="R69" s="8"/>
      <c r="S69" s="8"/>
      <c r="T69" s="8"/>
    </row>
    <row r="70" spans="1:20" x14ac:dyDescent="0.3">
      <c r="A70" s="8"/>
      <c r="B70" s="8"/>
      <c r="C70" s="8"/>
      <c r="D70" s="8"/>
      <c r="E70" s="8"/>
      <c r="F70" s="8"/>
      <c r="G70" s="8"/>
      <c r="H70" s="8"/>
      <c r="I70" s="8"/>
      <c r="J70" s="8"/>
      <c r="K70" s="8"/>
      <c r="L70" s="8"/>
      <c r="M70" s="8"/>
      <c r="N70" s="8"/>
      <c r="O70" s="8"/>
      <c r="P70" s="8"/>
      <c r="Q70" s="8"/>
      <c r="R70" s="8"/>
      <c r="S70" s="8"/>
      <c r="T70" s="8"/>
    </row>
    <row r="71" spans="1:20" x14ac:dyDescent="0.3">
      <c r="A71" s="8"/>
      <c r="B71" s="8"/>
      <c r="C71" s="8"/>
      <c r="D71" s="8"/>
      <c r="E71" s="8"/>
      <c r="F71" s="8"/>
      <c r="G71" s="8"/>
      <c r="H71" s="8"/>
      <c r="I71" s="8"/>
      <c r="J71" s="8"/>
      <c r="K71" s="8"/>
      <c r="L71" s="8"/>
      <c r="M71" s="8"/>
      <c r="N71" s="8"/>
      <c r="O71" s="8"/>
      <c r="P71" s="8"/>
      <c r="Q71" s="8"/>
      <c r="R71" s="8"/>
      <c r="S71" s="8"/>
      <c r="T71" s="8"/>
    </row>
    <row r="72" spans="1:20" x14ac:dyDescent="0.3">
      <c r="A72" s="8"/>
      <c r="B72" s="8"/>
      <c r="C72" s="8"/>
      <c r="D72" s="8"/>
      <c r="E72" s="8"/>
      <c r="F72" s="8"/>
      <c r="G72" s="8"/>
      <c r="H72" s="8"/>
      <c r="I72" s="8"/>
      <c r="J72" s="8"/>
      <c r="K72" s="8"/>
      <c r="L72" s="8"/>
      <c r="M72" s="8"/>
      <c r="N72" s="8"/>
      <c r="O72" s="8"/>
      <c r="P72" s="8"/>
      <c r="Q72" s="8"/>
      <c r="R72" s="8"/>
      <c r="S72" s="8"/>
      <c r="T72" s="8"/>
    </row>
    <row r="73" spans="1:20" x14ac:dyDescent="0.3">
      <c r="A73" s="8"/>
      <c r="B73" s="8"/>
      <c r="C73" s="8"/>
      <c r="D73" s="8"/>
      <c r="E73" s="8"/>
      <c r="F73" s="8"/>
      <c r="G73" s="8"/>
      <c r="H73" s="8"/>
      <c r="I73" s="8"/>
      <c r="J73" s="8"/>
      <c r="K73" s="8"/>
      <c r="L73" s="8"/>
      <c r="M73" s="8"/>
      <c r="N73" s="8"/>
      <c r="O73" s="8"/>
      <c r="P73" s="8"/>
      <c r="Q73" s="8"/>
      <c r="R73" s="8"/>
      <c r="S73" s="8"/>
      <c r="T73" s="8"/>
    </row>
  </sheetData>
  <mergeCells count="6">
    <mergeCell ref="C1:G1"/>
    <mergeCell ref="B16:E16"/>
    <mergeCell ref="C28:F28"/>
    <mergeCell ref="C47:L48"/>
    <mergeCell ref="M1:Q1"/>
    <mergeCell ref="M19:Q19"/>
  </mergeCells>
  <conditionalFormatting pivot="1" sqref="O47:O56">
    <cfRule type="top10" dxfId="114" priority="4" rank="3"/>
  </conditionalFormatting>
  <conditionalFormatting pivot="1" sqref="O47:O56">
    <cfRule type="iconSet" priority="3">
      <iconSet iconSet="4TrafficLights">
        <cfvo type="percent" val="0"/>
        <cfvo type="percent" val="25"/>
        <cfvo type="percent" val="50"/>
        <cfvo type="percent" val="75"/>
      </iconSet>
    </cfRule>
  </conditionalFormatting>
  <conditionalFormatting pivot="1" sqref="P47:P56">
    <cfRule type="top10" dxfId="113" priority="2" rank="3"/>
  </conditionalFormatting>
  <conditionalFormatting pivot="1" sqref="P47:P56">
    <cfRule type="iconSet" priority="1">
      <iconSet iconSet="4TrafficLights">
        <cfvo type="percent" val="0"/>
        <cfvo type="percent" val="25"/>
        <cfvo type="percent" val="50"/>
        <cfvo type="percent" val="75"/>
      </iconSet>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B84E6-5E71-40E3-B642-8AA7537FE77F}">
  <dimension ref="A3:M30"/>
  <sheetViews>
    <sheetView workbookViewId="0">
      <selection activeCell="E19" sqref="E19"/>
    </sheetView>
  </sheetViews>
  <sheetFormatPr defaultRowHeight="14.4" x14ac:dyDescent="0.3"/>
  <cols>
    <col min="1" max="1" width="16.33203125" bestFit="1" customWidth="1"/>
    <col min="2" max="2" width="15.5546875" bestFit="1" customWidth="1"/>
    <col min="3" max="3" width="7" bestFit="1" customWidth="1"/>
    <col min="4" max="4" width="10.5546875" bestFit="1" customWidth="1"/>
    <col min="5" max="5" width="12.44140625" bestFit="1" customWidth="1"/>
    <col min="6" max="6" width="19.88671875" bestFit="1" customWidth="1"/>
  </cols>
  <sheetData>
    <row r="3" spans="1:4" x14ac:dyDescent="0.3">
      <c r="A3" s="4" t="s">
        <v>2063</v>
      </c>
      <c r="B3" s="4" t="s">
        <v>2048</v>
      </c>
    </row>
    <row r="4" spans="1:4" x14ac:dyDescent="0.3">
      <c r="A4" s="4" t="s">
        <v>2046</v>
      </c>
      <c r="B4" t="s">
        <v>34</v>
      </c>
      <c r="C4" t="s">
        <v>19</v>
      </c>
      <c r="D4" t="s">
        <v>2047</v>
      </c>
    </row>
    <row r="5" spans="1:4" x14ac:dyDescent="0.3">
      <c r="A5" s="5" t="s">
        <v>43</v>
      </c>
      <c r="B5" s="23">
        <v>87</v>
      </c>
      <c r="C5" s="23">
        <v>83</v>
      </c>
      <c r="D5" s="23">
        <v>170</v>
      </c>
    </row>
    <row r="6" spans="1:4" x14ac:dyDescent="0.3">
      <c r="A6" s="5" t="s">
        <v>66</v>
      </c>
      <c r="B6" s="23">
        <v>81</v>
      </c>
      <c r="C6" s="23">
        <v>63</v>
      </c>
      <c r="D6" s="23">
        <v>144</v>
      </c>
    </row>
    <row r="7" spans="1:4" x14ac:dyDescent="0.3">
      <c r="A7" s="5" t="s">
        <v>62</v>
      </c>
      <c r="B7" s="23">
        <v>55</v>
      </c>
      <c r="C7" s="23">
        <v>78</v>
      </c>
      <c r="D7" s="23">
        <v>133</v>
      </c>
    </row>
    <row r="8" spans="1:4" x14ac:dyDescent="0.3">
      <c r="A8" s="5" t="s">
        <v>94</v>
      </c>
      <c r="B8" s="23">
        <v>71</v>
      </c>
      <c r="C8" s="23">
        <v>79</v>
      </c>
      <c r="D8" s="23">
        <v>150</v>
      </c>
    </row>
    <row r="9" spans="1:4" x14ac:dyDescent="0.3">
      <c r="A9" s="5" t="s">
        <v>26</v>
      </c>
      <c r="B9" s="23">
        <v>62</v>
      </c>
      <c r="C9" s="23">
        <v>72</v>
      </c>
      <c r="D9" s="23">
        <v>134</v>
      </c>
    </row>
    <row r="10" spans="1:4" x14ac:dyDescent="0.3">
      <c r="A10" s="5" t="s">
        <v>32</v>
      </c>
      <c r="B10" s="23">
        <v>82</v>
      </c>
      <c r="C10" s="23">
        <v>64</v>
      </c>
      <c r="D10" s="23">
        <v>146</v>
      </c>
    </row>
    <row r="11" spans="1:4" x14ac:dyDescent="0.3">
      <c r="A11" s="5" t="s">
        <v>17</v>
      </c>
      <c r="B11" s="23">
        <v>58</v>
      </c>
      <c r="C11" s="23">
        <v>65</v>
      </c>
      <c r="D11" s="23">
        <v>123</v>
      </c>
    </row>
    <row r="12" spans="1:4" x14ac:dyDescent="0.3">
      <c r="A12" s="5" t="s">
        <v>2047</v>
      </c>
      <c r="B12" s="23">
        <v>496</v>
      </c>
      <c r="C12" s="23">
        <v>504</v>
      </c>
      <c r="D12" s="23">
        <v>1000</v>
      </c>
    </row>
    <row r="20" spans="5:13" x14ac:dyDescent="0.3">
      <c r="K20" t="s">
        <v>2064</v>
      </c>
      <c r="M20" t="str" cm="1">
        <f t="array" ref="M20">RIGHT(K20,LEN(K20)-MIN(FIND({0,1,2,3,4,5,6,7,8,9},K20&amp;"0,1,2,3,4,5,6,7,8,9")-1))</f>
        <v>1234</v>
      </c>
    </row>
    <row r="21" spans="5:13" x14ac:dyDescent="0.3">
      <c r="K21" t="s">
        <v>2065</v>
      </c>
    </row>
    <row r="22" spans="5:13" x14ac:dyDescent="0.3">
      <c r="E22" s="4" t="s">
        <v>2046</v>
      </c>
      <c r="F22" t="s">
        <v>2054</v>
      </c>
      <c r="K22" t="s">
        <v>2066</v>
      </c>
    </row>
    <row r="23" spans="5:13" x14ac:dyDescent="0.3">
      <c r="E23" s="5" t="s">
        <v>54</v>
      </c>
      <c r="F23" s="23">
        <v>821610</v>
      </c>
      <c r="K23" t="s">
        <v>2067</v>
      </c>
    </row>
    <row r="24" spans="5:13" x14ac:dyDescent="0.3">
      <c r="E24" s="5" t="s">
        <v>49</v>
      </c>
      <c r="F24" s="23">
        <v>796892</v>
      </c>
      <c r="K24" t="s">
        <v>2068</v>
      </c>
    </row>
    <row r="25" spans="5:13" x14ac:dyDescent="0.3">
      <c r="E25" s="5" t="s">
        <v>133</v>
      </c>
      <c r="F25" s="23">
        <v>835936</v>
      </c>
    </row>
    <row r="26" spans="5:13" x14ac:dyDescent="0.3">
      <c r="E26" s="5" t="s">
        <v>20</v>
      </c>
      <c r="F26" s="23">
        <v>774395</v>
      </c>
    </row>
    <row r="27" spans="5:13" x14ac:dyDescent="0.3">
      <c r="E27" s="5" t="s">
        <v>40</v>
      </c>
      <c r="F27" s="23">
        <v>966996</v>
      </c>
    </row>
    <row r="28" spans="5:13" x14ac:dyDescent="0.3">
      <c r="E28" s="5" t="s">
        <v>44</v>
      </c>
      <c r="F28" s="23">
        <v>671044</v>
      </c>
    </row>
    <row r="29" spans="5:13" x14ac:dyDescent="0.3">
      <c r="E29" s="5" t="s">
        <v>35</v>
      </c>
      <c r="F29" s="23">
        <v>719272</v>
      </c>
    </row>
    <row r="30" spans="5:13" x14ac:dyDescent="0.3">
      <c r="E30" s="5" t="s">
        <v>2047</v>
      </c>
      <c r="F30" s="23">
        <v>5586145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CB3D1-9702-438F-932C-6288BD66046F}">
  <dimension ref="A3:S102"/>
  <sheetViews>
    <sheetView tabSelected="1" topLeftCell="A77" zoomScaleNormal="100" workbookViewId="0">
      <selection activeCell="R99" sqref="R99"/>
    </sheetView>
  </sheetViews>
  <sheetFormatPr defaultRowHeight="14.4" x14ac:dyDescent="0.3"/>
  <cols>
    <col min="1" max="1" width="12.44140625" bestFit="1" customWidth="1"/>
    <col min="2" max="2" width="19.21875" bestFit="1" customWidth="1"/>
    <col min="3" max="3" width="7" bestFit="1" customWidth="1"/>
    <col min="4" max="4" width="10.5546875" bestFit="1" customWidth="1"/>
    <col min="11" max="11" width="19.88671875" bestFit="1" customWidth="1"/>
    <col min="15" max="15" width="14.88671875" bestFit="1" customWidth="1"/>
    <col min="16" max="16" width="19.88671875" bestFit="1" customWidth="1"/>
    <col min="19" max="19" width="19.88671875" bestFit="1" customWidth="1"/>
  </cols>
  <sheetData>
    <row r="3" spans="1:4" x14ac:dyDescent="0.3">
      <c r="A3" s="4" t="s">
        <v>2063</v>
      </c>
      <c r="B3" s="4" t="s">
        <v>2048</v>
      </c>
    </row>
    <row r="4" spans="1:4" x14ac:dyDescent="0.3">
      <c r="A4" s="4" t="s">
        <v>2046</v>
      </c>
      <c r="B4" t="s">
        <v>34</v>
      </c>
      <c r="C4" t="s">
        <v>19</v>
      </c>
      <c r="D4" t="s">
        <v>2047</v>
      </c>
    </row>
    <row r="5" spans="1:4" x14ac:dyDescent="0.3">
      <c r="A5" s="5" t="s">
        <v>43</v>
      </c>
      <c r="B5" s="23">
        <v>87</v>
      </c>
      <c r="C5" s="23">
        <v>83</v>
      </c>
      <c r="D5" s="23">
        <v>170</v>
      </c>
    </row>
    <row r="6" spans="1:4" x14ac:dyDescent="0.3">
      <c r="A6" s="5" t="s">
        <v>66</v>
      </c>
      <c r="B6" s="23">
        <v>81</v>
      </c>
      <c r="C6" s="23">
        <v>63</v>
      </c>
      <c r="D6" s="23">
        <v>144</v>
      </c>
    </row>
    <row r="7" spans="1:4" x14ac:dyDescent="0.3">
      <c r="A7" s="5" t="s">
        <v>62</v>
      </c>
      <c r="B7" s="23">
        <v>55</v>
      </c>
      <c r="C7" s="23">
        <v>78</v>
      </c>
      <c r="D7" s="23">
        <v>133</v>
      </c>
    </row>
    <row r="8" spans="1:4" x14ac:dyDescent="0.3">
      <c r="A8" s="5" t="s">
        <v>94</v>
      </c>
      <c r="B8" s="23">
        <v>71</v>
      </c>
      <c r="C8" s="23">
        <v>79</v>
      </c>
      <c r="D8" s="23">
        <v>150</v>
      </c>
    </row>
    <row r="9" spans="1:4" x14ac:dyDescent="0.3">
      <c r="A9" s="5" t="s">
        <v>26</v>
      </c>
      <c r="B9" s="23">
        <v>62</v>
      </c>
      <c r="C9" s="23">
        <v>72</v>
      </c>
      <c r="D9" s="23">
        <v>134</v>
      </c>
    </row>
    <row r="10" spans="1:4" x14ac:dyDescent="0.3">
      <c r="A10" s="5" t="s">
        <v>32</v>
      </c>
      <c r="B10" s="23">
        <v>82</v>
      </c>
      <c r="C10" s="23">
        <v>64</v>
      </c>
      <c r="D10" s="23">
        <v>146</v>
      </c>
    </row>
    <row r="11" spans="1:4" x14ac:dyDescent="0.3">
      <c r="A11" s="5" t="s">
        <v>17</v>
      </c>
      <c r="B11" s="23">
        <v>58</v>
      </c>
      <c r="C11" s="23">
        <v>65</v>
      </c>
      <c r="D11" s="23">
        <v>123</v>
      </c>
    </row>
    <row r="12" spans="1:4" x14ac:dyDescent="0.3">
      <c r="A12" s="5" t="s">
        <v>2047</v>
      </c>
      <c r="B12" s="23">
        <v>496</v>
      </c>
      <c r="C12" s="23">
        <v>504</v>
      </c>
      <c r="D12" s="23">
        <v>1000</v>
      </c>
    </row>
    <row r="17" spans="1:16" x14ac:dyDescent="0.3">
      <c r="A17" s="4" t="s">
        <v>2046</v>
      </c>
      <c r="B17" t="s">
        <v>2054</v>
      </c>
    </row>
    <row r="18" spans="1:16" x14ac:dyDescent="0.3">
      <c r="A18" s="5" t="s">
        <v>54</v>
      </c>
      <c r="B18" s="23">
        <v>821610</v>
      </c>
    </row>
    <row r="19" spans="1:16" x14ac:dyDescent="0.3">
      <c r="A19" s="5" t="s">
        <v>49</v>
      </c>
      <c r="B19" s="23">
        <v>796892</v>
      </c>
    </row>
    <row r="20" spans="1:16" x14ac:dyDescent="0.3">
      <c r="A20" s="5" t="s">
        <v>133</v>
      </c>
      <c r="B20" s="23">
        <v>835936</v>
      </c>
    </row>
    <row r="21" spans="1:16" x14ac:dyDescent="0.3">
      <c r="A21" s="5" t="s">
        <v>20</v>
      </c>
      <c r="B21" s="23">
        <v>774395</v>
      </c>
    </row>
    <row r="22" spans="1:16" x14ac:dyDescent="0.3">
      <c r="A22" s="5" t="s">
        <v>40</v>
      </c>
      <c r="B22" s="23">
        <v>966996</v>
      </c>
    </row>
    <row r="23" spans="1:16" x14ac:dyDescent="0.3">
      <c r="A23" s="5" t="s">
        <v>44</v>
      </c>
      <c r="B23" s="23">
        <v>671044</v>
      </c>
    </row>
    <row r="24" spans="1:16" x14ac:dyDescent="0.3">
      <c r="A24" s="5" t="s">
        <v>35</v>
      </c>
      <c r="B24" s="23">
        <v>719272</v>
      </c>
    </row>
    <row r="25" spans="1:16" x14ac:dyDescent="0.3">
      <c r="A25" s="5" t="s">
        <v>2047</v>
      </c>
      <c r="B25" s="23">
        <v>5586145</v>
      </c>
    </row>
    <row r="28" spans="1:16" x14ac:dyDescent="0.3">
      <c r="O28" s="4" t="s">
        <v>2046</v>
      </c>
      <c r="P28" t="s">
        <v>2054</v>
      </c>
    </row>
    <row r="29" spans="1:16" x14ac:dyDescent="0.3">
      <c r="O29" s="5" t="s">
        <v>43</v>
      </c>
      <c r="P29" s="23">
        <v>977555</v>
      </c>
    </row>
    <row r="30" spans="1:16" x14ac:dyDescent="0.3">
      <c r="A30" s="4" t="s">
        <v>2046</v>
      </c>
      <c r="B30" t="s">
        <v>2055</v>
      </c>
      <c r="O30" s="5" t="s">
        <v>66</v>
      </c>
      <c r="P30" s="23">
        <v>778179</v>
      </c>
    </row>
    <row r="31" spans="1:16" x14ac:dyDescent="0.3">
      <c r="A31" s="5" t="s">
        <v>50</v>
      </c>
      <c r="B31" s="23">
        <v>7.3925233644859816</v>
      </c>
      <c r="O31" s="5" t="s">
        <v>62</v>
      </c>
      <c r="P31" s="23">
        <v>811073</v>
      </c>
    </row>
    <row r="32" spans="1:16" x14ac:dyDescent="0.3">
      <c r="A32" s="5" t="s">
        <v>29</v>
      </c>
      <c r="B32" s="23">
        <v>7.6725663716814161</v>
      </c>
      <c r="O32" s="5" t="s">
        <v>94</v>
      </c>
      <c r="P32" s="23">
        <v>859636</v>
      </c>
    </row>
    <row r="33" spans="1:16" x14ac:dyDescent="0.3">
      <c r="A33" s="5" t="s">
        <v>22</v>
      </c>
      <c r="B33" s="23">
        <v>7.4058823529411768</v>
      </c>
      <c r="O33" s="5" t="s">
        <v>26</v>
      </c>
      <c r="P33" s="23">
        <v>704655</v>
      </c>
    </row>
    <row r="34" spans="1:16" x14ac:dyDescent="0.3">
      <c r="A34" s="5" t="s">
        <v>2047</v>
      </c>
      <c r="B34" s="23">
        <v>7.492</v>
      </c>
      <c r="O34" s="5" t="s">
        <v>32</v>
      </c>
      <c r="P34" s="23">
        <v>750949</v>
      </c>
    </row>
    <row r="35" spans="1:16" x14ac:dyDescent="0.3">
      <c r="O35" s="5" t="s">
        <v>17</v>
      </c>
      <c r="P35" s="23">
        <v>704098</v>
      </c>
    </row>
    <row r="36" spans="1:16" x14ac:dyDescent="0.3">
      <c r="O36" s="5" t="s">
        <v>2047</v>
      </c>
      <c r="P36" s="23">
        <v>5586145</v>
      </c>
    </row>
    <row r="40" spans="1:16" x14ac:dyDescent="0.3">
      <c r="A40" s="4" t="s">
        <v>2046</v>
      </c>
      <c r="B40" t="s">
        <v>2063</v>
      </c>
    </row>
    <row r="41" spans="1:16" x14ac:dyDescent="0.3">
      <c r="A41" s="5" t="s">
        <v>50</v>
      </c>
      <c r="B41" s="23">
        <v>321</v>
      </c>
    </row>
    <row r="42" spans="1:16" x14ac:dyDescent="0.3">
      <c r="A42" s="5" t="s">
        <v>29</v>
      </c>
      <c r="B42" s="23">
        <v>339</v>
      </c>
    </row>
    <row r="43" spans="1:16" x14ac:dyDescent="0.3">
      <c r="A43" s="5" t="s">
        <v>22</v>
      </c>
      <c r="B43" s="23">
        <v>340</v>
      </c>
    </row>
    <row r="44" spans="1:16" x14ac:dyDescent="0.3">
      <c r="A44" s="5" t="s">
        <v>2047</v>
      </c>
      <c r="B44" s="23">
        <v>1000</v>
      </c>
    </row>
    <row r="51" spans="1:2" x14ac:dyDescent="0.3">
      <c r="A51" s="4" t="s">
        <v>2046</v>
      </c>
      <c r="B51" t="s">
        <v>2055</v>
      </c>
    </row>
    <row r="52" spans="1:2" x14ac:dyDescent="0.3">
      <c r="A52" s="5" t="s">
        <v>43</v>
      </c>
      <c r="B52" s="23">
        <v>7.5470588235294116</v>
      </c>
    </row>
    <row r="53" spans="1:2" x14ac:dyDescent="0.3">
      <c r="A53" s="5" t="s">
        <v>66</v>
      </c>
      <c r="B53" s="23">
        <v>7.2152777777777777</v>
      </c>
    </row>
    <row r="54" spans="1:2" x14ac:dyDescent="0.3">
      <c r="A54" s="5" t="s">
        <v>62</v>
      </c>
      <c r="B54" s="23">
        <v>7.511278195488722</v>
      </c>
    </row>
    <row r="55" spans="1:2" x14ac:dyDescent="0.3">
      <c r="A55" s="5" t="s">
        <v>94</v>
      </c>
      <c r="B55" s="23">
        <v>7.3666666666666663</v>
      </c>
    </row>
    <row r="56" spans="1:2" x14ac:dyDescent="0.3">
      <c r="A56" s="5" t="s">
        <v>26</v>
      </c>
      <c r="B56" s="23">
        <v>7.3656716417910451</v>
      </c>
    </row>
    <row r="57" spans="1:2" x14ac:dyDescent="0.3">
      <c r="A57" s="5" t="s">
        <v>32</v>
      </c>
      <c r="B57" s="23">
        <v>7.5205479452054798</v>
      </c>
    </row>
    <row r="58" spans="1:2" x14ac:dyDescent="0.3">
      <c r="A58" s="5" t="s">
        <v>17</v>
      </c>
      <c r="B58" s="23">
        <v>7.975609756097561</v>
      </c>
    </row>
    <row r="59" spans="1:2" x14ac:dyDescent="0.3">
      <c r="A59" s="5" t="s">
        <v>2047</v>
      </c>
      <c r="B59" s="23">
        <v>7.492</v>
      </c>
    </row>
    <row r="65" spans="1:19" x14ac:dyDescent="0.3">
      <c r="A65" s="4" t="s">
        <v>2046</v>
      </c>
      <c r="B65" t="s">
        <v>2062</v>
      </c>
    </row>
    <row r="66" spans="1:19" x14ac:dyDescent="0.3">
      <c r="A66" s="5" t="s">
        <v>34</v>
      </c>
      <c r="B66" s="23">
        <v>496</v>
      </c>
    </row>
    <row r="67" spans="1:19" x14ac:dyDescent="0.3">
      <c r="A67" s="5" t="s">
        <v>19</v>
      </c>
      <c r="B67" s="23">
        <v>504</v>
      </c>
    </row>
    <row r="68" spans="1:19" x14ac:dyDescent="0.3">
      <c r="A68" s="5" t="s">
        <v>2047</v>
      </c>
      <c r="B68" s="23">
        <v>1000</v>
      </c>
    </row>
    <row r="70" spans="1:19" x14ac:dyDescent="0.3">
      <c r="L70" t="s">
        <v>2069</v>
      </c>
    </row>
    <row r="74" spans="1:19" x14ac:dyDescent="0.3">
      <c r="A74" s="12"/>
      <c r="B74" s="12"/>
      <c r="C74" s="12"/>
      <c r="D74" s="12"/>
      <c r="E74" s="12"/>
      <c r="F74" s="12"/>
      <c r="G74" s="12"/>
      <c r="H74" s="12"/>
      <c r="I74" s="12"/>
      <c r="J74" s="12"/>
      <c r="K74" s="12"/>
      <c r="L74" s="12"/>
      <c r="M74" s="12"/>
      <c r="N74" s="12"/>
      <c r="O74" s="12"/>
      <c r="P74" s="12"/>
    </row>
    <row r="75" spans="1:19" x14ac:dyDescent="0.3">
      <c r="A75" s="12"/>
      <c r="B75" s="12"/>
      <c r="C75" s="22" t="s">
        <v>2059</v>
      </c>
      <c r="D75" s="22"/>
      <c r="E75" s="22"/>
      <c r="F75" s="22"/>
      <c r="G75" s="22"/>
      <c r="H75" s="22"/>
      <c r="I75" s="22"/>
      <c r="J75" s="22"/>
      <c r="K75" s="22"/>
      <c r="L75" s="13"/>
      <c r="M75" s="13"/>
      <c r="N75" s="12"/>
      <c r="O75" s="12"/>
      <c r="P75" s="12"/>
    </row>
    <row r="76" spans="1:19" x14ac:dyDescent="0.3">
      <c r="A76" s="12"/>
      <c r="B76" s="12"/>
      <c r="C76" s="22"/>
      <c r="D76" s="22"/>
      <c r="E76" s="22"/>
      <c r="F76" s="22"/>
      <c r="G76" s="22"/>
      <c r="H76" s="22"/>
      <c r="I76" s="22"/>
      <c r="J76" s="22"/>
      <c r="K76" s="22"/>
      <c r="L76" s="13"/>
      <c r="M76" s="13"/>
      <c r="N76" s="12"/>
      <c r="O76" s="12"/>
      <c r="P76" s="12"/>
      <c r="S76" t="s">
        <v>2054</v>
      </c>
    </row>
    <row r="77" spans="1:19" x14ac:dyDescent="0.3">
      <c r="A77" s="12"/>
      <c r="B77" s="12"/>
      <c r="C77" s="12"/>
      <c r="D77" s="12"/>
      <c r="E77" s="12"/>
      <c r="F77" s="12"/>
      <c r="G77" s="12"/>
      <c r="H77" s="12"/>
      <c r="I77" s="12"/>
      <c r="J77" s="12"/>
      <c r="K77" s="12"/>
      <c r="L77" s="12"/>
      <c r="M77" s="12"/>
      <c r="N77" s="12"/>
      <c r="O77" s="12"/>
      <c r="P77" s="12"/>
      <c r="S77" s="25">
        <v>5586145</v>
      </c>
    </row>
    <row r="78" spans="1:19" x14ac:dyDescent="0.3">
      <c r="A78" s="12"/>
      <c r="B78" s="12"/>
      <c r="C78" s="12"/>
      <c r="D78" s="12"/>
      <c r="E78" s="12"/>
      <c r="F78" s="12"/>
      <c r="G78" s="12"/>
      <c r="H78" s="12"/>
      <c r="I78" s="12"/>
      <c r="J78" s="12"/>
      <c r="K78" s="12"/>
      <c r="L78" s="12"/>
      <c r="M78" s="12"/>
      <c r="N78" s="12"/>
      <c r="O78" s="12"/>
      <c r="P78" s="12"/>
    </row>
    <row r="79" spans="1:19" x14ac:dyDescent="0.3">
      <c r="A79" s="12"/>
      <c r="B79" s="12"/>
      <c r="C79" s="12"/>
      <c r="D79" s="12"/>
      <c r="E79" s="12"/>
      <c r="F79" s="12"/>
      <c r="G79" s="12"/>
      <c r="H79" s="12"/>
      <c r="I79" s="12"/>
      <c r="J79" s="12"/>
      <c r="K79" s="12"/>
      <c r="L79" s="12"/>
      <c r="M79" s="12"/>
      <c r="N79" s="12"/>
      <c r="O79" s="12"/>
      <c r="P79" s="12"/>
    </row>
    <row r="80" spans="1:19" x14ac:dyDescent="0.3">
      <c r="A80" s="12"/>
      <c r="B80" s="12"/>
      <c r="C80" s="12"/>
      <c r="D80" s="12"/>
      <c r="E80" s="12"/>
      <c r="F80" s="12"/>
      <c r="G80" s="12"/>
      <c r="H80" s="12"/>
      <c r="I80" s="12"/>
      <c r="J80" s="12"/>
      <c r="K80" s="12"/>
      <c r="L80" s="12"/>
      <c r="M80" s="12"/>
      <c r="N80" s="12"/>
      <c r="O80" s="12"/>
      <c r="P80" s="12"/>
    </row>
    <row r="81" spans="1:16" x14ac:dyDescent="0.3">
      <c r="A81" s="12"/>
      <c r="B81" s="12"/>
      <c r="C81" s="12"/>
      <c r="D81" s="12"/>
      <c r="E81" s="12"/>
      <c r="F81" s="12"/>
      <c r="G81" s="12"/>
      <c r="H81" s="12"/>
      <c r="I81" s="12"/>
      <c r="J81" s="12"/>
      <c r="K81" s="12"/>
      <c r="L81" s="12"/>
      <c r="M81" s="12"/>
      <c r="N81" s="12"/>
      <c r="O81" s="12"/>
      <c r="P81" s="12"/>
    </row>
    <row r="82" spans="1:16" x14ac:dyDescent="0.3">
      <c r="A82" s="12"/>
      <c r="B82" s="12"/>
      <c r="C82" s="12"/>
      <c r="D82" s="12"/>
      <c r="E82" s="12"/>
      <c r="F82" s="12"/>
      <c r="G82" s="12"/>
      <c r="H82" s="12"/>
      <c r="I82" s="12"/>
      <c r="J82" s="12"/>
      <c r="K82" s="12"/>
      <c r="L82" s="12"/>
      <c r="M82" s="12"/>
      <c r="N82" s="12"/>
      <c r="O82" s="12"/>
      <c r="P82" s="12"/>
    </row>
    <row r="83" spans="1:16" x14ac:dyDescent="0.3">
      <c r="A83" s="12"/>
      <c r="B83" s="12"/>
      <c r="C83" s="12"/>
      <c r="D83" s="12"/>
      <c r="E83" s="12"/>
      <c r="F83" s="12"/>
      <c r="G83" s="12"/>
      <c r="H83" s="12"/>
      <c r="I83" s="12"/>
      <c r="J83" s="12"/>
      <c r="K83" s="12"/>
      <c r="L83" s="12"/>
      <c r="M83" s="12"/>
      <c r="N83" s="12"/>
      <c r="O83" s="12"/>
      <c r="P83" s="12"/>
    </row>
    <row r="84" spans="1:16" x14ac:dyDescent="0.3">
      <c r="A84" s="12"/>
      <c r="B84" s="12"/>
      <c r="C84" s="12"/>
      <c r="D84" s="12"/>
      <c r="E84" s="12"/>
      <c r="F84" s="12"/>
      <c r="G84" s="12"/>
      <c r="H84" s="12"/>
      <c r="I84" s="12"/>
      <c r="J84" s="12"/>
      <c r="K84" s="12"/>
      <c r="L84" s="12"/>
      <c r="M84" s="12"/>
      <c r="N84" s="12"/>
      <c r="O84" s="12"/>
      <c r="P84" s="12"/>
    </row>
    <row r="85" spans="1:16" x14ac:dyDescent="0.3">
      <c r="A85" s="12"/>
      <c r="B85" s="12"/>
      <c r="C85" s="12"/>
      <c r="D85" s="12"/>
      <c r="E85" s="12"/>
      <c r="F85" s="12"/>
      <c r="G85" s="12"/>
      <c r="H85" s="12"/>
      <c r="I85" s="12"/>
      <c r="J85" s="12"/>
      <c r="K85" s="12"/>
      <c r="L85" s="12"/>
      <c r="M85" s="12"/>
      <c r="N85" s="12"/>
      <c r="O85" s="12"/>
      <c r="P85" s="12"/>
    </row>
    <row r="86" spans="1:16" x14ac:dyDescent="0.3">
      <c r="A86" s="12"/>
      <c r="B86" s="12"/>
      <c r="C86" s="12"/>
      <c r="D86" s="12"/>
      <c r="E86" s="12"/>
      <c r="F86" s="12"/>
      <c r="G86" s="12"/>
      <c r="H86" s="12"/>
      <c r="I86" s="12"/>
      <c r="J86" s="12"/>
      <c r="K86" s="12"/>
      <c r="L86" s="12"/>
      <c r="M86" s="12"/>
      <c r="N86" s="12"/>
      <c r="O86" s="12"/>
      <c r="P86" s="12"/>
    </row>
    <row r="87" spans="1:16" x14ac:dyDescent="0.3">
      <c r="A87" s="12"/>
      <c r="B87" s="12"/>
      <c r="C87" s="12"/>
      <c r="D87" s="12"/>
      <c r="E87" s="12"/>
      <c r="F87" s="12"/>
      <c r="G87" s="12"/>
      <c r="H87" s="12"/>
      <c r="I87" s="12"/>
      <c r="J87" s="12"/>
      <c r="K87" s="12"/>
      <c r="L87" s="12"/>
      <c r="M87" s="12"/>
      <c r="N87" s="12"/>
      <c r="O87" s="12"/>
      <c r="P87" s="12"/>
    </row>
    <row r="88" spans="1:16" x14ac:dyDescent="0.3">
      <c r="A88" s="12"/>
      <c r="B88" s="12"/>
      <c r="C88" s="12"/>
      <c r="D88" s="12"/>
      <c r="E88" s="12"/>
      <c r="F88" s="12"/>
      <c r="G88" s="12"/>
      <c r="H88" s="12"/>
      <c r="I88" s="12"/>
      <c r="J88" s="12"/>
      <c r="K88" s="12"/>
      <c r="L88" s="12"/>
      <c r="M88" s="12"/>
      <c r="N88" s="12"/>
      <c r="O88" s="12"/>
      <c r="P88" s="12"/>
    </row>
    <row r="89" spans="1:16" x14ac:dyDescent="0.3">
      <c r="A89" s="12"/>
      <c r="B89" s="12"/>
      <c r="C89" s="12"/>
      <c r="D89" s="12"/>
      <c r="E89" s="12"/>
      <c r="F89" s="12"/>
      <c r="G89" s="12"/>
      <c r="H89" s="12"/>
      <c r="I89" s="12"/>
      <c r="J89" s="12"/>
      <c r="K89" s="12"/>
      <c r="L89" s="12"/>
      <c r="M89" s="12"/>
      <c r="N89" s="12"/>
      <c r="O89" s="12"/>
      <c r="P89" s="12"/>
    </row>
    <row r="90" spans="1:16" x14ac:dyDescent="0.3">
      <c r="A90" s="12"/>
      <c r="B90" s="12"/>
      <c r="C90" s="12"/>
      <c r="D90" s="12"/>
      <c r="E90" s="12"/>
      <c r="F90" s="12"/>
      <c r="G90" s="12"/>
      <c r="H90" s="12"/>
      <c r="I90" s="12"/>
      <c r="J90" s="12"/>
      <c r="K90" s="12"/>
      <c r="L90" s="12"/>
      <c r="M90" s="12"/>
      <c r="N90" s="12"/>
      <c r="O90" s="12"/>
      <c r="P90" s="12"/>
    </row>
    <row r="91" spans="1:16" x14ac:dyDescent="0.3">
      <c r="A91" s="12"/>
      <c r="B91" s="12"/>
      <c r="C91" s="12"/>
      <c r="D91" s="12"/>
      <c r="E91" s="12"/>
      <c r="F91" s="12"/>
      <c r="G91" s="12"/>
      <c r="H91" s="12"/>
      <c r="I91" s="12"/>
      <c r="J91" s="12"/>
      <c r="K91" s="12"/>
      <c r="L91" s="12"/>
      <c r="M91" s="12"/>
      <c r="N91" s="12"/>
      <c r="O91" s="12"/>
      <c r="P91" s="12"/>
    </row>
    <row r="92" spans="1:16" x14ac:dyDescent="0.3">
      <c r="A92" s="12"/>
      <c r="B92" s="12"/>
      <c r="C92" s="12"/>
      <c r="D92" s="12"/>
      <c r="E92" s="12"/>
      <c r="F92" s="12"/>
      <c r="G92" s="12"/>
      <c r="H92" s="12"/>
      <c r="I92" s="12"/>
      <c r="J92" s="12"/>
      <c r="K92" s="12"/>
      <c r="L92" s="12"/>
      <c r="M92" s="12"/>
      <c r="N92" s="12"/>
      <c r="O92" s="12"/>
      <c r="P92" s="12"/>
    </row>
    <row r="93" spans="1:16" x14ac:dyDescent="0.3">
      <c r="A93" s="12"/>
      <c r="B93" s="12"/>
      <c r="C93" s="12"/>
      <c r="D93" s="12"/>
      <c r="E93" s="12"/>
      <c r="F93" s="12"/>
      <c r="G93" s="12"/>
      <c r="H93" s="12"/>
      <c r="I93" s="12"/>
      <c r="J93" s="12"/>
      <c r="K93" s="12"/>
      <c r="L93" s="12"/>
      <c r="M93" s="12"/>
      <c r="N93" s="12"/>
      <c r="O93" s="12"/>
      <c r="P93" s="12"/>
    </row>
    <row r="94" spans="1:16" x14ac:dyDescent="0.3">
      <c r="A94" s="12"/>
      <c r="B94" s="12"/>
      <c r="C94" s="12"/>
      <c r="D94" s="12"/>
      <c r="E94" s="12"/>
      <c r="F94" s="12"/>
      <c r="G94" s="12"/>
      <c r="H94" s="12"/>
      <c r="I94" s="12"/>
      <c r="J94" s="12"/>
      <c r="K94" s="12"/>
      <c r="L94" s="12"/>
      <c r="M94" s="12"/>
      <c r="N94" s="12"/>
      <c r="O94" s="12"/>
      <c r="P94" s="12"/>
    </row>
    <row r="95" spans="1:16" x14ac:dyDescent="0.3">
      <c r="A95" s="12"/>
      <c r="B95" s="12"/>
      <c r="C95" s="12"/>
      <c r="D95" s="12"/>
      <c r="E95" s="12"/>
      <c r="F95" s="12"/>
      <c r="G95" s="12"/>
      <c r="H95" s="12"/>
      <c r="I95" s="12"/>
      <c r="J95" s="12"/>
      <c r="K95" s="12"/>
      <c r="L95" s="12"/>
      <c r="M95" s="12"/>
      <c r="N95" s="12"/>
      <c r="O95" s="12"/>
      <c r="P95" s="12"/>
    </row>
    <row r="96" spans="1:16" x14ac:dyDescent="0.3">
      <c r="A96" s="12"/>
      <c r="B96" s="12"/>
      <c r="C96" s="12"/>
      <c r="D96" s="12"/>
      <c r="E96" s="12"/>
      <c r="F96" s="12"/>
      <c r="G96" s="12"/>
      <c r="H96" s="12"/>
      <c r="I96" s="12"/>
      <c r="J96" s="12"/>
      <c r="K96" s="12"/>
      <c r="L96" s="12"/>
      <c r="M96" s="12"/>
      <c r="N96" s="12"/>
      <c r="O96" s="12"/>
      <c r="P96" s="12"/>
    </row>
    <row r="97" spans="1:16" x14ac:dyDescent="0.3">
      <c r="A97" s="12"/>
      <c r="B97" s="12"/>
      <c r="C97" s="12"/>
      <c r="D97" s="12"/>
      <c r="E97" s="12"/>
      <c r="F97" s="12"/>
      <c r="G97" s="12"/>
      <c r="H97" s="12"/>
      <c r="I97" s="12"/>
      <c r="J97" s="12"/>
      <c r="K97" s="12"/>
      <c r="L97" s="12"/>
      <c r="M97" s="12"/>
      <c r="N97" s="12"/>
      <c r="O97" s="12"/>
      <c r="P97" s="12"/>
    </row>
    <row r="98" spans="1:16" x14ac:dyDescent="0.3">
      <c r="A98" s="12"/>
      <c r="B98" s="12"/>
      <c r="C98" s="12"/>
      <c r="D98" s="12"/>
      <c r="E98" s="12"/>
      <c r="F98" s="12"/>
      <c r="G98" s="12"/>
      <c r="H98" s="12"/>
      <c r="I98" s="12"/>
      <c r="J98" s="12"/>
      <c r="K98" s="12"/>
      <c r="L98" s="12"/>
      <c r="M98" s="12"/>
      <c r="N98" s="12"/>
      <c r="O98" s="12"/>
      <c r="P98" s="12"/>
    </row>
    <row r="99" spans="1:16" x14ac:dyDescent="0.3">
      <c r="A99" s="12"/>
      <c r="B99" s="12"/>
      <c r="C99" s="12"/>
      <c r="D99" s="12"/>
      <c r="E99" s="12"/>
      <c r="F99" s="12"/>
      <c r="G99" s="12"/>
      <c r="H99" s="12"/>
      <c r="I99" s="12"/>
      <c r="J99" s="12"/>
      <c r="K99" s="12"/>
      <c r="L99" s="12"/>
      <c r="M99" s="12"/>
      <c r="N99" s="12"/>
      <c r="O99" s="12"/>
      <c r="P99" s="12"/>
    </row>
    <row r="100" spans="1:16" x14ac:dyDescent="0.3">
      <c r="A100" s="12"/>
      <c r="B100" s="12"/>
      <c r="C100" s="12"/>
      <c r="D100" s="12"/>
      <c r="E100" s="12"/>
      <c r="F100" s="12"/>
      <c r="G100" s="12"/>
      <c r="H100" s="12"/>
      <c r="I100" s="12"/>
      <c r="J100" s="12"/>
      <c r="K100" s="12"/>
      <c r="L100" s="12"/>
      <c r="M100" s="12"/>
      <c r="N100" s="12"/>
      <c r="O100" s="12"/>
      <c r="P100" s="12"/>
    </row>
    <row r="101" spans="1:16" x14ac:dyDescent="0.3">
      <c r="A101" s="12"/>
      <c r="B101" s="12"/>
      <c r="C101" s="12"/>
      <c r="D101" s="12"/>
      <c r="E101" s="12"/>
      <c r="F101" s="12"/>
      <c r="G101" s="12"/>
      <c r="H101" s="12"/>
      <c r="I101" s="12"/>
      <c r="J101" s="12"/>
      <c r="K101" s="12"/>
      <c r="L101" s="12"/>
      <c r="M101" s="12"/>
      <c r="N101" s="12"/>
      <c r="O101" s="12"/>
      <c r="P101" s="12"/>
    </row>
    <row r="102" spans="1:16" x14ac:dyDescent="0.3">
      <c r="A102" s="12"/>
      <c r="B102" s="12"/>
      <c r="C102" s="12"/>
      <c r="D102" s="12"/>
      <c r="E102" s="12"/>
      <c r="F102" s="12"/>
      <c r="G102" s="12"/>
      <c r="H102" s="12"/>
      <c r="I102" s="12"/>
      <c r="J102" s="12"/>
      <c r="K102" s="12"/>
      <c r="L102" s="12"/>
      <c r="M102" s="12"/>
      <c r="N102" s="12"/>
      <c r="O102" s="12"/>
      <c r="P102" s="12"/>
    </row>
  </sheetData>
  <mergeCells count="1">
    <mergeCell ref="C75:K76"/>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73BE3-D972-42BC-8683-AB7086EE1B23}">
  <dimension ref="A1:R1001"/>
  <sheetViews>
    <sheetView workbookViewId="0">
      <selection activeCell="B5" sqref="A1:O1001"/>
    </sheetView>
  </sheetViews>
  <sheetFormatPr defaultRowHeight="14.4" x14ac:dyDescent="0.3"/>
  <cols>
    <col min="5" max="5" width="13.5546875" bestFit="1" customWidth="1"/>
    <col min="6" max="6" width="13.33203125" bestFit="1" customWidth="1"/>
    <col min="14" max="14" width="17.441406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s="2" t="s">
        <v>2045</v>
      </c>
    </row>
    <row r="2" spans="1:18" x14ac:dyDescent="0.3">
      <c r="A2" t="s">
        <v>14</v>
      </c>
      <c r="B2" t="s">
        <v>15</v>
      </c>
      <c r="C2">
        <v>22</v>
      </c>
      <c r="D2" t="s">
        <v>16</v>
      </c>
      <c r="E2" s="1">
        <v>45512</v>
      </c>
      <c r="F2" s="1">
        <v>45520</v>
      </c>
      <c r="G2" t="s">
        <v>17</v>
      </c>
      <c r="H2" t="s">
        <v>18</v>
      </c>
      <c r="I2">
        <v>5912</v>
      </c>
      <c r="J2" t="s">
        <v>19</v>
      </c>
      <c r="K2" t="s">
        <v>20</v>
      </c>
      <c r="L2" t="s">
        <v>21</v>
      </c>
      <c r="M2" t="s">
        <v>22</v>
      </c>
      <c r="N2">
        <v>8</v>
      </c>
      <c r="O2" t="str">
        <f>IF(N2&gt;3,"Extended","Normal")</f>
        <v>Extended</v>
      </c>
    </row>
    <row r="3" spans="1:18" x14ac:dyDescent="0.3">
      <c r="A3" t="s">
        <v>23</v>
      </c>
      <c r="B3" t="s">
        <v>24</v>
      </c>
      <c r="C3">
        <v>49</v>
      </c>
      <c r="D3" t="s">
        <v>25</v>
      </c>
      <c r="E3" s="1">
        <v>45613</v>
      </c>
      <c r="F3" s="1">
        <v>45617</v>
      </c>
      <c r="G3" t="s">
        <v>26</v>
      </c>
      <c r="H3" t="s">
        <v>27</v>
      </c>
      <c r="I3">
        <v>2172</v>
      </c>
      <c r="J3" t="s">
        <v>19</v>
      </c>
      <c r="K3" t="s">
        <v>20</v>
      </c>
      <c r="L3" t="s">
        <v>28</v>
      </c>
      <c r="M3" t="s">
        <v>29</v>
      </c>
      <c r="N3">
        <v>4</v>
      </c>
      <c r="O3" t="str">
        <f t="shared" ref="O3:O66" si="0">IF(N3&gt;3,"Extended","Normal")</f>
        <v>Extended</v>
      </c>
    </row>
    <row r="4" spans="1:18" x14ac:dyDescent="0.3">
      <c r="A4" t="s">
        <v>30</v>
      </c>
      <c r="B4" t="s">
        <v>31</v>
      </c>
      <c r="C4">
        <v>85</v>
      </c>
      <c r="D4" t="s">
        <v>25</v>
      </c>
      <c r="E4" s="1">
        <v>45662</v>
      </c>
      <c r="F4" s="1">
        <v>45676</v>
      </c>
      <c r="G4" t="s">
        <v>32</v>
      </c>
      <c r="H4" t="s">
        <v>33</v>
      </c>
      <c r="I4">
        <v>9245</v>
      </c>
      <c r="J4" t="s">
        <v>34</v>
      </c>
      <c r="K4" t="s">
        <v>35</v>
      </c>
      <c r="L4" t="s">
        <v>36</v>
      </c>
      <c r="M4" t="s">
        <v>29</v>
      </c>
      <c r="N4">
        <v>14</v>
      </c>
      <c r="O4" t="str">
        <f t="shared" si="0"/>
        <v>Extended</v>
      </c>
    </row>
    <row r="5" spans="1:18" x14ac:dyDescent="0.3">
      <c r="A5" t="s">
        <v>37</v>
      </c>
      <c r="B5" t="s">
        <v>38</v>
      </c>
      <c r="C5">
        <v>27</v>
      </c>
      <c r="D5" t="s">
        <v>16</v>
      </c>
      <c r="E5" s="1">
        <v>45475</v>
      </c>
      <c r="F5" s="1">
        <v>45476</v>
      </c>
      <c r="G5" t="s">
        <v>26</v>
      </c>
      <c r="H5" t="s">
        <v>39</v>
      </c>
      <c r="I5">
        <v>9436</v>
      </c>
      <c r="J5" t="s">
        <v>34</v>
      </c>
      <c r="K5" t="s">
        <v>40</v>
      </c>
      <c r="L5" t="s">
        <v>36</v>
      </c>
      <c r="M5" t="s">
        <v>22</v>
      </c>
      <c r="N5">
        <v>1</v>
      </c>
      <c r="O5" t="str">
        <f t="shared" si="0"/>
        <v>Normal</v>
      </c>
    </row>
    <row r="6" spans="1:18" x14ac:dyDescent="0.3">
      <c r="A6" t="s">
        <v>41</v>
      </c>
      <c r="B6" t="s">
        <v>42</v>
      </c>
      <c r="C6">
        <v>68</v>
      </c>
      <c r="D6" t="s">
        <v>25</v>
      </c>
      <c r="E6" s="1">
        <v>45787</v>
      </c>
      <c r="F6" s="1">
        <v>45799</v>
      </c>
      <c r="G6" t="s">
        <v>43</v>
      </c>
      <c r="H6" t="s">
        <v>39</v>
      </c>
      <c r="I6">
        <v>4298</v>
      </c>
      <c r="J6" t="s">
        <v>34</v>
      </c>
      <c r="K6" t="s">
        <v>44</v>
      </c>
      <c r="L6" t="s">
        <v>45</v>
      </c>
      <c r="M6" t="s">
        <v>22</v>
      </c>
      <c r="N6">
        <v>12</v>
      </c>
      <c r="O6" t="str">
        <f t="shared" si="0"/>
        <v>Extended</v>
      </c>
      <c r="Q6" s="3" t="s">
        <v>2043</v>
      </c>
    </row>
    <row r="7" spans="1:18" x14ac:dyDescent="0.3">
      <c r="A7" t="s">
        <v>46</v>
      </c>
      <c r="B7" t="s">
        <v>47</v>
      </c>
      <c r="C7">
        <v>44</v>
      </c>
      <c r="D7" t="s">
        <v>25</v>
      </c>
      <c r="E7" s="1">
        <v>45589</v>
      </c>
      <c r="F7" s="1">
        <v>45603</v>
      </c>
      <c r="G7" t="s">
        <v>32</v>
      </c>
      <c r="H7" t="s">
        <v>48</v>
      </c>
      <c r="I7">
        <v>5055</v>
      </c>
      <c r="J7" t="s">
        <v>19</v>
      </c>
      <c r="K7" t="s">
        <v>49</v>
      </c>
      <c r="L7" t="s">
        <v>21</v>
      </c>
      <c r="M7" t="s">
        <v>50</v>
      </c>
      <c r="N7">
        <v>14</v>
      </c>
      <c r="O7" t="str">
        <f t="shared" si="0"/>
        <v>Extended</v>
      </c>
      <c r="Q7">
        <f>SUMIF(J2:J1001,"paid",I2:I1001)</f>
        <v>2761319</v>
      </c>
      <c r="R7">
        <f>SUMIF(J2:J1001,"paid",Hospital_Management_Large!I2:I1001)</f>
        <v>2761319</v>
      </c>
    </row>
    <row r="8" spans="1:18" x14ac:dyDescent="0.3">
      <c r="A8" t="s">
        <v>51</v>
      </c>
      <c r="B8" t="s">
        <v>52</v>
      </c>
      <c r="C8">
        <v>65</v>
      </c>
      <c r="D8" t="s">
        <v>25</v>
      </c>
      <c r="E8" s="1">
        <v>45784</v>
      </c>
      <c r="F8" s="1">
        <v>45794</v>
      </c>
      <c r="G8" t="s">
        <v>26</v>
      </c>
      <c r="H8" t="s">
        <v>53</v>
      </c>
      <c r="I8">
        <v>9801</v>
      </c>
      <c r="J8" t="s">
        <v>19</v>
      </c>
      <c r="K8" t="s">
        <v>54</v>
      </c>
      <c r="L8" t="s">
        <v>55</v>
      </c>
      <c r="M8" t="s">
        <v>29</v>
      </c>
      <c r="N8">
        <v>10</v>
      </c>
      <c r="O8" t="str">
        <f t="shared" si="0"/>
        <v>Extended</v>
      </c>
    </row>
    <row r="9" spans="1:18" x14ac:dyDescent="0.3">
      <c r="A9" t="s">
        <v>56</v>
      </c>
      <c r="B9" t="s">
        <v>57</v>
      </c>
      <c r="C9">
        <v>28</v>
      </c>
      <c r="D9" t="s">
        <v>16</v>
      </c>
      <c r="E9" s="1">
        <v>45558</v>
      </c>
      <c r="F9" s="1">
        <v>45568</v>
      </c>
      <c r="G9" t="s">
        <v>26</v>
      </c>
      <c r="H9" t="s">
        <v>58</v>
      </c>
      <c r="I9">
        <v>4916</v>
      </c>
      <c r="J9" t="s">
        <v>34</v>
      </c>
      <c r="K9" t="s">
        <v>54</v>
      </c>
      <c r="L9" t="s">
        <v>59</v>
      </c>
      <c r="M9" t="s">
        <v>50</v>
      </c>
      <c r="N9">
        <v>10</v>
      </c>
      <c r="O9" t="str">
        <f t="shared" si="0"/>
        <v>Extended</v>
      </c>
    </row>
    <row r="10" spans="1:18" x14ac:dyDescent="0.3">
      <c r="A10" t="s">
        <v>60</v>
      </c>
      <c r="B10" t="s">
        <v>61</v>
      </c>
      <c r="C10">
        <v>27</v>
      </c>
      <c r="D10" t="s">
        <v>16</v>
      </c>
      <c r="E10" s="1">
        <v>45738</v>
      </c>
      <c r="F10" s="1">
        <v>45742</v>
      </c>
      <c r="G10" t="s">
        <v>62</v>
      </c>
      <c r="H10" t="s">
        <v>63</v>
      </c>
      <c r="I10">
        <v>8551</v>
      </c>
      <c r="J10" t="s">
        <v>19</v>
      </c>
      <c r="K10" t="s">
        <v>20</v>
      </c>
      <c r="L10" t="s">
        <v>45</v>
      </c>
      <c r="M10" t="s">
        <v>29</v>
      </c>
      <c r="N10">
        <v>4</v>
      </c>
      <c r="O10" t="str">
        <f t="shared" si="0"/>
        <v>Extended</v>
      </c>
      <c r="Q10" s="3" t="s">
        <v>2044</v>
      </c>
    </row>
    <row r="11" spans="1:18" x14ac:dyDescent="0.3">
      <c r="A11" t="s">
        <v>64</v>
      </c>
      <c r="B11" t="s">
        <v>65</v>
      </c>
      <c r="C11">
        <v>15</v>
      </c>
      <c r="D11" t="s">
        <v>25</v>
      </c>
      <c r="E11" s="1">
        <v>45786</v>
      </c>
      <c r="F11" s="1">
        <v>45797</v>
      </c>
      <c r="G11" t="s">
        <v>66</v>
      </c>
      <c r="H11" t="s">
        <v>39</v>
      </c>
      <c r="I11">
        <v>6610</v>
      </c>
      <c r="J11" t="s">
        <v>34</v>
      </c>
      <c r="K11" t="s">
        <v>44</v>
      </c>
      <c r="L11" t="s">
        <v>45</v>
      </c>
      <c r="M11" t="s">
        <v>29</v>
      </c>
      <c r="N11">
        <v>11</v>
      </c>
      <c r="O11" t="str">
        <f t="shared" si="0"/>
        <v>Extended</v>
      </c>
      <c r="Q11">
        <f>COUNTIF(M2:M1001,"private")</f>
        <v>321</v>
      </c>
      <c r="R11">
        <f>COUNTIF(M2:M1001,"Private")</f>
        <v>321</v>
      </c>
    </row>
    <row r="12" spans="1:18" x14ac:dyDescent="0.3">
      <c r="A12" t="s">
        <v>67</v>
      </c>
      <c r="B12" t="s">
        <v>68</v>
      </c>
      <c r="C12">
        <v>39</v>
      </c>
      <c r="D12" t="s">
        <v>25</v>
      </c>
      <c r="E12" s="1">
        <v>45502</v>
      </c>
      <c r="F12" s="1">
        <v>45509</v>
      </c>
      <c r="G12" t="s">
        <v>62</v>
      </c>
      <c r="H12" t="s">
        <v>63</v>
      </c>
      <c r="I12">
        <v>6049</v>
      </c>
      <c r="J12" t="s">
        <v>34</v>
      </c>
      <c r="K12" t="s">
        <v>44</v>
      </c>
      <c r="L12" t="s">
        <v>36</v>
      </c>
      <c r="M12" t="s">
        <v>29</v>
      </c>
      <c r="N12">
        <v>7</v>
      </c>
      <c r="O12" t="str">
        <f t="shared" si="0"/>
        <v>Extended</v>
      </c>
    </row>
    <row r="13" spans="1:18" x14ac:dyDescent="0.3">
      <c r="A13" t="s">
        <v>69</v>
      </c>
      <c r="B13" t="s">
        <v>70</v>
      </c>
      <c r="C13">
        <v>41</v>
      </c>
      <c r="D13" t="s">
        <v>16</v>
      </c>
      <c r="E13" s="1">
        <v>45568</v>
      </c>
      <c r="F13" s="1">
        <v>45578</v>
      </c>
      <c r="G13" t="s">
        <v>26</v>
      </c>
      <c r="H13" t="s">
        <v>63</v>
      </c>
      <c r="I13">
        <v>2857</v>
      </c>
      <c r="J13" t="s">
        <v>34</v>
      </c>
      <c r="K13" t="s">
        <v>20</v>
      </c>
      <c r="L13" t="s">
        <v>28</v>
      </c>
      <c r="M13" t="s">
        <v>29</v>
      </c>
      <c r="N13">
        <v>10</v>
      </c>
      <c r="O13" t="str">
        <f t="shared" si="0"/>
        <v>Extended</v>
      </c>
    </row>
    <row r="14" spans="1:18" x14ac:dyDescent="0.3">
      <c r="A14" t="s">
        <v>71</v>
      </c>
      <c r="B14" t="s">
        <v>72</v>
      </c>
      <c r="C14">
        <v>56</v>
      </c>
      <c r="D14" t="s">
        <v>16</v>
      </c>
      <c r="E14" s="1">
        <v>45732</v>
      </c>
      <c r="F14" s="1">
        <v>45741</v>
      </c>
      <c r="G14" t="s">
        <v>66</v>
      </c>
      <c r="H14" t="s">
        <v>73</v>
      </c>
      <c r="I14">
        <v>9151</v>
      </c>
      <c r="J14" t="s">
        <v>19</v>
      </c>
      <c r="K14" t="s">
        <v>44</v>
      </c>
      <c r="L14" t="s">
        <v>55</v>
      </c>
      <c r="M14" t="s">
        <v>29</v>
      </c>
      <c r="N14">
        <v>9</v>
      </c>
      <c r="O14" t="str">
        <f t="shared" si="0"/>
        <v>Extended</v>
      </c>
      <c r="R14">
        <f>SUM(I2:I1001)</f>
        <v>5586145</v>
      </c>
    </row>
    <row r="15" spans="1:18" x14ac:dyDescent="0.3">
      <c r="A15" t="s">
        <v>74</v>
      </c>
      <c r="B15" t="s">
        <v>75</v>
      </c>
      <c r="C15">
        <v>22</v>
      </c>
      <c r="D15" t="s">
        <v>25</v>
      </c>
      <c r="E15" s="1">
        <v>45441</v>
      </c>
      <c r="F15" s="1">
        <v>45452</v>
      </c>
      <c r="G15" t="s">
        <v>17</v>
      </c>
      <c r="H15" t="s">
        <v>53</v>
      </c>
      <c r="I15">
        <v>8713</v>
      </c>
      <c r="J15" t="s">
        <v>19</v>
      </c>
      <c r="K15" t="s">
        <v>54</v>
      </c>
      <c r="L15" t="s">
        <v>21</v>
      </c>
      <c r="M15" t="s">
        <v>29</v>
      </c>
      <c r="N15">
        <v>11</v>
      </c>
      <c r="O15" t="str">
        <f t="shared" si="0"/>
        <v>Extended</v>
      </c>
    </row>
    <row r="16" spans="1:18" x14ac:dyDescent="0.3">
      <c r="A16" t="s">
        <v>76</v>
      </c>
      <c r="B16" t="s">
        <v>77</v>
      </c>
      <c r="C16">
        <v>44</v>
      </c>
      <c r="D16" t="s">
        <v>16</v>
      </c>
      <c r="E16" s="1">
        <v>45715</v>
      </c>
      <c r="F16" s="1">
        <v>45727</v>
      </c>
      <c r="G16" t="s">
        <v>32</v>
      </c>
      <c r="H16" t="s">
        <v>33</v>
      </c>
      <c r="I16">
        <v>6296</v>
      </c>
      <c r="J16" t="s">
        <v>19</v>
      </c>
      <c r="K16" t="s">
        <v>49</v>
      </c>
      <c r="L16" t="s">
        <v>78</v>
      </c>
      <c r="M16" t="s">
        <v>29</v>
      </c>
      <c r="N16">
        <v>12</v>
      </c>
      <c r="O16" t="str">
        <f t="shared" si="0"/>
        <v>Extended</v>
      </c>
    </row>
    <row r="17" spans="1:15" x14ac:dyDescent="0.3">
      <c r="A17" t="s">
        <v>79</v>
      </c>
      <c r="B17" t="s">
        <v>80</v>
      </c>
      <c r="C17">
        <v>49</v>
      </c>
      <c r="D17" t="s">
        <v>16</v>
      </c>
      <c r="E17" s="1">
        <v>45643</v>
      </c>
      <c r="F17" s="1">
        <v>45656</v>
      </c>
      <c r="G17" t="s">
        <v>66</v>
      </c>
      <c r="H17" t="s">
        <v>33</v>
      </c>
      <c r="I17">
        <v>1653</v>
      </c>
      <c r="J17" t="s">
        <v>19</v>
      </c>
      <c r="K17" t="s">
        <v>20</v>
      </c>
      <c r="L17" t="s">
        <v>36</v>
      </c>
      <c r="M17" t="s">
        <v>22</v>
      </c>
      <c r="N17">
        <v>13</v>
      </c>
      <c r="O17" t="str">
        <f t="shared" si="0"/>
        <v>Extended</v>
      </c>
    </row>
    <row r="18" spans="1:15" x14ac:dyDescent="0.3">
      <c r="A18" t="s">
        <v>81</v>
      </c>
      <c r="B18" t="s">
        <v>82</v>
      </c>
      <c r="C18">
        <v>16</v>
      </c>
      <c r="D18" t="s">
        <v>16</v>
      </c>
      <c r="E18" s="1">
        <v>45680</v>
      </c>
      <c r="F18" s="1">
        <v>45692</v>
      </c>
      <c r="G18" t="s">
        <v>26</v>
      </c>
      <c r="H18" t="s">
        <v>58</v>
      </c>
      <c r="I18">
        <v>8496</v>
      </c>
      <c r="J18" t="s">
        <v>34</v>
      </c>
      <c r="K18" t="s">
        <v>35</v>
      </c>
      <c r="L18" t="s">
        <v>59</v>
      </c>
      <c r="M18" t="s">
        <v>50</v>
      </c>
      <c r="N18">
        <v>12</v>
      </c>
      <c r="O18" t="str">
        <f t="shared" si="0"/>
        <v>Extended</v>
      </c>
    </row>
    <row r="19" spans="1:15" x14ac:dyDescent="0.3">
      <c r="A19" t="s">
        <v>83</v>
      </c>
      <c r="B19" t="s">
        <v>84</v>
      </c>
      <c r="C19">
        <v>62</v>
      </c>
      <c r="D19" t="s">
        <v>25</v>
      </c>
      <c r="E19" s="1">
        <v>45503</v>
      </c>
      <c r="F19" s="1">
        <v>45511</v>
      </c>
      <c r="G19" t="s">
        <v>26</v>
      </c>
      <c r="H19" t="s">
        <v>48</v>
      </c>
      <c r="I19">
        <v>2496</v>
      </c>
      <c r="J19" t="s">
        <v>19</v>
      </c>
      <c r="K19" t="s">
        <v>40</v>
      </c>
      <c r="L19" t="s">
        <v>21</v>
      </c>
      <c r="M19" t="s">
        <v>22</v>
      </c>
      <c r="N19">
        <v>8</v>
      </c>
      <c r="O19" t="str">
        <f t="shared" si="0"/>
        <v>Extended</v>
      </c>
    </row>
    <row r="20" spans="1:15" x14ac:dyDescent="0.3">
      <c r="A20" t="s">
        <v>85</v>
      </c>
      <c r="B20" t="s">
        <v>86</v>
      </c>
      <c r="C20">
        <v>35</v>
      </c>
      <c r="D20" t="s">
        <v>16</v>
      </c>
      <c r="E20" s="1">
        <v>45776</v>
      </c>
      <c r="F20" s="1">
        <v>45783</v>
      </c>
      <c r="G20" t="s">
        <v>43</v>
      </c>
      <c r="H20" t="s">
        <v>63</v>
      </c>
      <c r="I20">
        <v>3978</v>
      </c>
      <c r="J20" t="s">
        <v>19</v>
      </c>
      <c r="K20" t="s">
        <v>35</v>
      </c>
      <c r="L20" t="s">
        <v>78</v>
      </c>
      <c r="M20" t="s">
        <v>50</v>
      </c>
      <c r="N20">
        <v>7</v>
      </c>
      <c r="O20" t="str">
        <f t="shared" si="0"/>
        <v>Extended</v>
      </c>
    </row>
    <row r="21" spans="1:15" x14ac:dyDescent="0.3">
      <c r="A21" t="s">
        <v>87</v>
      </c>
      <c r="B21" t="s">
        <v>88</v>
      </c>
      <c r="C21">
        <v>17</v>
      </c>
      <c r="D21" t="s">
        <v>16</v>
      </c>
      <c r="E21" s="1">
        <v>45654</v>
      </c>
      <c r="F21" s="1">
        <v>45656</v>
      </c>
      <c r="G21" t="s">
        <v>26</v>
      </c>
      <c r="H21" t="s">
        <v>89</v>
      </c>
      <c r="I21">
        <v>2013</v>
      </c>
      <c r="J21" t="s">
        <v>19</v>
      </c>
      <c r="K21" t="s">
        <v>44</v>
      </c>
      <c r="L21" t="s">
        <v>59</v>
      </c>
      <c r="M21" t="s">
        <v>50</v>
      </c>
      <c r="N21">
        <v>2</v>
      </c>
      <c r="O21" t="str">
        <f t="shared" si="0"/>
        <v>Normal</v>
      </c>
    </row>
    <row r="22" spans="1:15" x14ac:dyDescent="0.3">
      <c r="A22" t="s">
        <v>90</v>
      </c>
      <c r="B22" t="s">
        <v>91</v>
      </c>
      <c r="C22">
        <v>66</v>
      </c>
      <c r="D22" t="s">
        <v>25</v>
      </c>
      <c r="E22" s="1">
        <v>45804</v>
      </c>
      <c r="F22" s="1">
        <v>45818</v>
      </c>
      <c r="G22" t="s">
        <v>17</v>
      </c>
      <c r="H22" t="s">
        <v>73</v>
      </c>
      <c r="I22">
        <v>3419</v>
      </c>
      <c r="J22" t="s">
        <v>34</v>
      </c>
      <c r="K22" t="s">
        <v>40</v>
      </c>
      <c r="L22" t="s">
        <v>45</v>
      </c>
      <c r="M22" t="s">
        <v>29</v>
      </c>
      <c r="N22">
        <v>14</v>
      </c>
      <c r="O22" t="str">
        <f t="shared" si="0"/>
        <v>Extended</v>
      </c>
    </row>
    <row r="23" spans="1:15" x14ac:dyDescent="0.3">
      <c r="A23" t="s">
        <v>92</v>
      </c>
      <c r="B23" t="s">
        <v>93</v>
      </c>
      <c r="C23">
        <v>8</v>
      </c>
      <c r="D23" t="s">
        <v>16</v>
      </c>
      <c r="E23" s="1">
        <v>45677</v>
      </c>
      <c r="F23" s="1">
        <v>45689</v>
      </c>
      <c r="G23" t="s">
        <v>94</v>
      </c>
      <c r="H23" t="s">
        <v>27</v>
      </c>
      <c r="I23">
        <v>7833</v>
      </c>
      <c r="J23" t="s">
        <v>34</v>
      </c>
      <c r="K23" t="s">
        <v>20</v>
      </c>
      <c r="L23" t="s">
        <v>59</v>
      </c>
      <c r="M23" t="s">
        <v>29</v>
      </c>
      <c r="N23">
        <v>12</v>
      </c>
      <c r="O23" t="str">
        <f t="shared" si="0"/>
        <v>Extended</v>
      </c>
    </row>
    <row r="24" spans="1:15" x14ac:dyDescent="0.3">
      <c r="A24" t="s">
        <v>95</v>
      </c>
      <c r="B24" t="s">
        <v>96</v>
      </c>
      <c r="C24">
        <v>72</v>
      </c>
      <c r="D24" t="s">
        <v>25</v>
      </c>
      <c r="E24" s="1">
        <v>45635</v>
      </c>
      <c r="F24" s="1">
        <v>45641</v>
      </c>
      <c r="G24" t="s">
        <v>32</v>
      </c>
      <c r="H24" t="s">
        <v>18</v>
      </c>
      <c r="I24">
        <v>6495</v>
      </c>
      <c r="J24" t="s">
        <v>34</v>
      </c>
      <c r="K24" t="s">
        <v>54</v>
      </c>
      <c r="L24" t="s">
        <v>36</v>
      </c>
      <c r="M24" t="s">
        <v>22</v>
      </c>
      <c r="N24">
        <v>6</v>
      </c>
      <c r="O24" t="str">
        <f t="shared" si="0"/>
        <v>Extended</v>
      </c>
    </row>
    <row r="25" spans="1:15" x14ac:dyDescent="0.3">
      <c r="A25" t="s">
        <v>97</v>
      </c>
      <c r="B25" t="s">
        <v>98</v>
      </c>
      <c r="C25">
        <v>1</v>
      </c>
      <c r="D25" t="s">
        <v>25</v>
      </c>
      <c r="E25" s="1">
        <v>45781</v>
      </c>
      <c r="F25" s="1">
        <v>45782</v>
      </c>
      <c r="G25" t="s">
        <v>94</v>
      </c>
      <c r="H25" t="s">
        <v>27</v>
      </c>
      <c r="I25">
        <v>8562</v>
      </c>
      <c r="J25" t="s">
        <v>34</v>
      </c>
      <c r="K25" t="s">
        <v>54</v>
      </c>
      <c r="L25" t="s">
        <v>21</v>
      </c>
      <c r="M25" t="s">
        <v>22</v>
      </c>
      <c r="N25">
        <v>1</v>
      </c>
      <c r="O25" t="str">
        <f t="shared" si="0"/>
        <v>Normal</v>
      </c>
    </row>
    <row r="26" spans="1:15" x14ac:dyDescent="0.3">
      <c r="A26" t="s">
        <v>99</v>
      </c>
      <c r="B26" t="s">
        <v>100</v>
      </c>
      <c r="C26">
        <v>83</v>
      </c>
      <c r="D26" t="s">
        <v>16</v>
      </c>
      <c r="E26" s="1">
        <v>45536</v>
      </c>
      <c r="F26" s="1">
        <v>45543</v>
      </c>
      <c r="G26" t="s">
        <v>26</v>
      </c>
      <c r="H26" t="s">
        <v>18</v>
      </c>
      <c r="I26">
        <v>3661</v>
      </c>
      <c r="J26" t="s">
        <v>19</v>
      </c>
      <c r="K26" t="s">
        <v>20</v>
      </c>
      <c r="L26" t="s">
        <v>36</v>
      </c>
      <c r="M26" t="s">
        <v>29</v>
      </c>
      <c r="N26">
        <v>7</v>
      </c>
      <c r="O26" t="str">
        <f t="shared" si="0"/>
        <v>Extended</v>
      </c>
    </row>
    <row r="27" spans="1:15" x14ac:dyDescent="0.3">
      <c r="A27" t="s">
        <v>101</v>
      </c>
      <c r="B27" t="s">
        <v>102</v>
      </c>
      <c r="C27">
        <v>81</v>
      </c>
      <c r="D27" t="s">
        <v>16</v>
      </c>
      <c r="E27" s="1">
        <v>45728</v>
      </c>
      <c r="F27" s="1">
        <v>45739</v>
      </c>
      <c r="G27" t="s">
        <v>62</v>
      </c>
      <c r="H27" t="s">
        <v>18</v>
      </c>
      <c r="I27">
        <v>6113</v>
      </c>
      <c r="J27" t="s">
        <v>19</v>
      </c>
      <c r="K27" t="s">
        <v>54</v>
      </c>
      <c r="L27" t="s">
        <v>45</v>
      </c>
      <c r="M27" t="s">
        <v>50</v>
      </c>
      <c r="N27">
        <v>11</v>
      </c>
      <c r="O27" t="str">
        <f t="shared" si="0"/>
        <v>Extended</v>
      </c>
    </row>
    <row r="28" spans="1:15" x14ac:dyDescent="0.3">
      <c r="A28" t="s">
        <v>103</v>
      </c>
      <c r="B28" t="s">
        <v>104</v>
      </c>
      <c r="C28">
        <v>39</v>
      </c>
      <c r="D28" t="s">
        <v>16</v>
      </c>
      <c r="E28" s="1">
        <v>45588</v>
      </c>
      <c r="F28" s="1">
        <v>45600</v>
      </c>
      <c r="G28" t="s">
        <v>66</v>
      </c>
      <c r="H28" t="s">
        <v>53</v>
      </c>
      <c r="I28">
        <v>5590</v>
      </c>
      <c r="J28" t="s">
        <v>19</v>
      </c>
      <c r="K28" t="s">
        <v>49</v>
      </c>
      <c r="L28" t="s">
        <v>59</v>
      </c>
      <c r="M28" t="s">
        <v>29</v>
      </c>
      <c r="N28">
        <v>12</v>
      </c>
      <c r="O28" t="str">
        <f t="shared" si="0"/>
        <v>Extended</v>
      </c>
    </row>
    <row r="29" spans="1:15" x14ac:dyDescent="0.3">
      <c r="A29" t="s">
        <v>105</v>
      </c>
      <c r="B29" t="s">
        <v>106</v>
      </c>
      <c r="C29">
        <v>77</v>
      </c>
      <c r="D29" t="s">
        <v>25</v>
      </c>
      <c r="E29" s="1">
        <v>45634</v>
      </c>
      <c r="F29" s="1">
        <v>45645</v>
      </c>
      <c r="G29" t="s">
        <v>17</v>
      </c>
      <c r="H29" t="s">
        <v>89</v>
      </c>
      <c r="I29">
        <v>5040</v>
      </c>
      <c r="J29" t="s">
        <v>34</v>
      </c>
      <c r="K29" t="s">
        <v>35</v>
      </c>
      <c r="L29" t="s">
        <v>36</v>
      </c>
      <c r="M29" t="s">
        <v>22</v>
      </c>
      <c r="N29">
        <v>11</v>
      </c>
      <c r="O29" t="str">
        <f t="shared" si="0"/>
        <v>Extended</v>
      </c>
    </row>
    <row r="30" spans="1:15" x14ac:dyDescent="0.3">
      <c r="A30" t="s">
        <v>107</v>
      </c>
      <c r="B30" t="s">
        <v>108</v>
      </c>
      <c r="C30">
        <v>26</v>
      </c>
      <c r="D30" t="s">
        <v>16</v>
      </c>
      <c r="E30" s="1">
        <v>45740</v>
      </c>
      <c r="F30" s="1">
        <v>45754</v>
      </c>
      <c r="G30" t="s">
        <v>32</v>
      </c>
      <c r="H30" t="s">
        <v>48</v>
      </c>
      <c r="I30">
        <v>5678</v>
      </c>
      <c r="J30" t="s">
        <v>19</v>
      </c>
      <c r="K30" t="s">
        <v>54</v>
      </c>
      <c r="L30" t="s">
        <v>28</v>
      </c>
      <c r="M30" t="s">
        <v>50</v>
      </c>
      <c r="N30">
        <v>14</v>
      </c>
      <c r="O30" t="str">
        <f t="shared" si="0"/>
        <v>Extended</v>
      </c>
    </row>
    <row r="31" spans="1:15" x14ac:dyDescent="0.3">
      <c r="A31" t="s">
        <v>109</v>
      </c>
      <c r="B31" t="s">
        <v>110</v>
      </c>
      <c r="C31">
        <v>43</v>
      </c>
      <c r="D31" t="s">
        <v>16</v>
      </c>
      <c r="E31" s="1">
        <v>45502</v>
      </c>
      <c r="F31" s="1">
        <v>45505</v>
      </c>
      <c r="G31" t="s">
        <v>17</v>
      </c>
      <c r="H31" t="s">
        <v>39</v>
      </c>
      <c r="I31">
        <v>1087</v>
      </c>
      <c r="J31" t="s">
        <v>19</v>
      </c>
      <c r="K31" t="s">
        <v>35</v>
      </c>
      <c r="L31" t="s">
        <v>78</v>
      </c>
      <c r="M31" t="s">
        <v>29</v>
      </c>
      <c r="N31">
        <v>3</v>
      </c>
      <c r="O31" t="str">
        <f t="shared" si="0"/>
        <v>Normal</v>
      </c>
    </row>
    <row r="32" spans="1:15" x14ac:dyDescent="0.3">
      <c r="A32" t="s">
        <v>111</v>
      </c>
      <c r="B32" t="s">
        <v>112</v>
      </c>
      <c r="C32">
        <v>27</v>
      </c>
      <c r="D32" t="s">
        <v>16</v>
      </c>
      <c r="E32" s="1">
        <v>45501</v>
      </c>
      <c r="F32" s="1">
        <v>45513</v>
      </c>
      <c r="G32" t="s">
        <v>94</v>
      </c>
      <c r="H32" t="s">
        <v>33</v>
      </c>
      <c r="I32">
        <v>6948</v>
      </c>
      <c r="J32" t="s">
        <v>34</v>
      </c>
      <c r="K32" t="s">
        <v>20</v>
      </c>
      <c r="L32" t="s">
        <v>28</v>
      </c>
      <c r="M32" t="s">
        <v>22</v>
      </c>
      <c r="N32">
        <v>12</v>
      </c>
      <c r="O32" t="str">
        <f t="shared" si="0"/>
        <v>Extended</v>
      </c>
    </row>
    <row r="33" spans="1:15" x14ac:dyDescent="0.3">
      <c r="A33" t="s">
        <v>113</v>
      </c>
      <c r="B33" t="s">
        <v>114</v>
      </c>
      <c r="C33">
        <v>56</v>
      </c>
      <c r="D33" t="s">
        <v>25</v>
      </c>
      <c r="E33" s="1">
        <v>45760</v>
      </c>
      <c r="F33" s="1">
        <v>45771</v>
      </c>
      <c r="G33" t="s">
        <v>62</v>
      </c>
      <c r="H33" t="s">
        <v>33</v>
      </c>
      <c r="I33">
        <v>6791</v>
      </c>
      <c r="J33" t="s">
        <v>19</v>
      </c>
      <c r="K33" t="s">
        <v>35</v>
      </c>
      <c r="L33" t="s">
        <v>78</v>
      </c>
      <c r="M33" t="s">
        <v>29</v>
      </c>
      <c r="N33">
        <v>11</v>
      </c>
      <c r="O33" t="str">
        <f t="shared" si="0"/>
        <v>Extended</v>
      </c>
    </row>
    <row r="34" spans="1:15" x14ac:dyDescent="0.3">
      <c r="A34" t="s">
        <v>115</v>
      </c>
      <c r="B34" t="s">
        <v>116</v>
      </c>
      <c r="C34">
        <v>75</v>
      </c>
      <c r="D34" t="s">
        <v>25</v>
      </c>
      <c r="E34" s="1">
        <v>45796</v>
      </c>
      <c r="F34" s="1">
        <v>45799</v>
      </c>
      <c r="G34" t="s">
        <v>32</v>
      </c>
      <c r="H34" t="s">
        <v>73</v>
      </c>
      <c r="I34">
        <v>2702</v>
      </c>
      <c r="J34" t="s">
        <v>34</v>
      </c>
      <c r="K34" t="s">
        <v>54</v>
      </c>
      <c r="L34" t="s">
        <v>78</v>
      </c>
      <c r="M34" t="s">
        <v>29</v>
      </c>
      <c r="N34">
        <v>3</v>
      </c>
      <c r="O34" t="str">
        <f t="shared" si="0"/>
        <v>Normal</v>
      </c>
    </row>
    <row r="35" spans="1:15" x14ac:dyDescent="0.3">
      <c r="A35" t="s">
        <v>117</v>
      </c>
      <c r="B35" t="s">
        <v>118</v>
      </c>
      <c r="C35">
        <v>54</v>
      </c>
      <c r="D35" t="s">
        <v>25</v>
      </c>
      <c r="E35" s="1">
        <v>45442</v>
      </c>
      <c r="F35" s="1">
        <v>45445</v>
      </c>
      <c r="G35" t="s">
        <v>62</v>
      </c>
      <c r="H35" t="s">
        <v>73</v>
      </c>
      <c r="I35">
        <v>4844</v>
      </c>
      <c r="J35" t="s">
        <v>19</v>
      </c>
      <c r="K35" t="s">
        <v>35</v>
      </c>
      <c r="L35" t="s">
        <v>55</v>
      </c>
      <c r="M35" t="s">
        <v>50</v>
      </c>
      <c r="N35">
        <v>3</v>
      </c>
      <c r="O35" t="str">
        <f t="shared" si="0"/>
        <v>Normal</v>
      </c>
    </row>
    <row r="36" spans="1:15" x14ac:dyDescent="0.3">
      <c r="A36" t="s">
        <v>119</v>
      </c>
      <c r="B36" t="s">
        <v>120</v>
      </c>
      <c r="C36">
        <v>28</v>
      </c>
      <c r="D36" t="s">
        <v>16</v>
      </c>
      <c r="E36" s="1">
        <v>45651</v>
      </c>
      <c r="F36" s="1">
        <v>45655</v>
      </c>
      <c r="G36" t="s">
        <v>94</v>
      </c>
      <c r="H36" t="s">
        <v>18</v>
      </c>
      <c r="I36">
        <v>7684</v>
      </c>
      <c r="J36" t="s">
        <v>19</v>
      </c>
      <c r="K36" t="s">
        <v>20</v>
      </c>
      <c r="L36" t="s">
        <v>45</v>
      </c>
      <c r="M36" t="s">
        <v>22</v>
      </c>
      <c r="N36">
        <v>4</v>
      </c>
      <c r="O36" t="str">
        <f t="shared" si="0"/>
        <v>Extended</v>
      </c>
    </row>
    <row r="37" spans="1:15" x14ac:dyDescent="0.3">
      <c r="A37" t="s">
        <v>121</v>
      </c>
      <c r="B37" t="s">
        <v>122</v>
      </c>
      <c r="C37">
        <v>56</v>
      </c>
      <c r="D37" t="s">
        <v>16</v>
      </c>
      <c r="E37" s="1">
        <v>45483</v>
      </c>
      <c r="F37" s="1">
        <v>45493</v>
      </c>
      <c r="G37" t="s">
        <v>26</v>
      </c>
      <c r="H37" t="s">
        <v>58</v>
      </c>
      <c r="I37">
        <v>1373</v>
      </c>
      <c r="J37" t="s">
        <v>19</v>
      </c>
      <c r="K37" t="s">
        <v>54</v>
      </c>
      <c r="L37" t="s">
        <v>45</v>
      </c>
      <c r="M37" t="s">
        <v>50</v>
      </c>
      <c r="N37">
        <v>10</v>
      </c>
      <c r="O37" t="str">
        <f t="shared" si="0"/>
        <v>Extended</v>
      </c>
    </row>
    <row r="38" spans="1:15" x14ac:dyDescent="0.3">
      <c r="A38" t="s">
        <v>123</v>
      </c>
      <c r="B38" t="s">
        <v>124</v>
      </c>
      <c r="C38">
        <v>86</v>
      </c>
      <c r="D38" t="s">
        <v>25</v>
      </c>
      <c r="E38" s="1">
        <v>45656</v>
      </c>
      <c r="F38" s="1">
        <v>45657</v>
      </c>
      <c r="G38" t="s">
        <v>26</v>
      </c>
      <c r="H38" t="s">
        <v>48</v>
      </c>
      <c r="I38">
        <v>7064</v>
      </c>
      <c r="J38" t="s">
        <v>19</v>
      </c>
      <c r="K38" t="s">
        <v>40</v>
      </c>
      <c r="L38" t="s">
        <v>28</v>
      </c>
      <c r="M38" t="s">
        <v>50</v>
      </c>
      <c r="N38">
        <v>1</v>
      </c>
      <c r="O38" t="str">
        <f t="shared" si="0"/>
        <v>Normal</v>
      </c>
    </row>
    <row r="39" spans="1:15" x14ac:dyDescent="0.3">
      <c r="A39" t="s">
        <v>125</v>
      </c>
      <c r="B39" t="s">
        <v>126</v>
      </c>
      <c r="C39">
        <v>34</v>
      </c>
      <c r="D39" t="s">
        <v>25</v>
      </c>
      <c r="E39" s="1">
        <v>45584</v>
      </c>
      <c r="F39" s="1">
        <v>45596</v>
      </c>
      <c r="G39" t="s">
        <v>43</v>
      </c>
      <c r="H39" t="s">
        <v>48</v>
      </c>
      <c r="I39">
        <v>5793</v>
      </c>
      <c r="J39" t="s">
        <v>19</v>
      </c>
      <c r="K39" t="s">
        <v>54</v>
      </c>
      <c r="L39" t="s">
        <v>36</v>
      </c>
      <c r="M39" t="s">
        <v>22</v>
      </c>
      <c r="N39">
        <v>12</v>
      </c>
      <c r="O39" t="str">
        <f t="shared" si="0"/>
        <v>Extended</v>
      </c>
    </row>
    <row r="40" spans="1:15" x14ac:dyDescent="0.3">
      <c r="A40" t="s">
        <v>127</v>
      </c>
      <c r="B40" t="s">
        <v>128</v>
      </c>
      <c r="C40">
        <v>65</v>
      </c>
      <c r="D40" t="s">
        <v>16</v>
      </c>
      <c r="E40" s="1">
        <v>45707</v>
      </c>
      <c r="F40" s="1">
        <v>45709</v>
      </c>
      <c r="G40" t="s">
        <v>32</v>
      </c>
      <c r="H40" t="s">
        <v>53</v>
      </c>
      <c r="I40">
        <v>7535</v>
      </c>
      <c r="J40" t="s">
        <v>34</v>
      </c>
      <c r="K40" t="s">
        <v>35</v>
      </c>
      <c r="L40" t="s">
        <v>45</v>
      </c>
      <c r="M40" t="s">
        <v>50</v>
      </c>
      <c r="N40">
        <v>2</v>
      </c>
      <c r="O40" t="str">
        <f t="shared" si="0"/>
        <v>Normal</v>
      </c>
    </row>
    <row r="41" spans="1:15" x14ac:dyDescent="0.3">
      <c r="A41" t="s">
        <v>129</v>
      </c>
      <c r="B41" t="s">
        <v>130</v>
      </c>
      <c r="C41">
        <v>16</v>
      </c>
      <c r="D41" t="s">
        <v>16</v>
      </c>
      <c r="E41" s="1">
        <v>45538</v>
      </c>
      <c r="F41" s="1">
        <v>45543</v>
      </c>
      <c r="G41" t="s">
        <v>94</v>
      </c>
      <c r="H41" t="s">
        <v>27</v>
      </c>
      <c r="I41">
        <v>7892</v>
      </c>
      <c r="J41" t="s">
        <v>34</v>
      </c>
      <c r="K41" t="s">
        <v>49</v>
      </c>
      <c r="L41" t="s">
        <v>55</v>
      </c>
      <c r="M41" t="s">
        <v>50</v>
      </c>
      <c r="N41">
        <v>5</v>
      </c>
      <c r="O41" t="str">
        <f t="shared" si="0"/>
        <v>Extended</v>
      </c>
    </row>
    <row r="42" spans="1:15" x14ac:dyDescent="0.3">
      <c r="A42" t="s">
        <v>131</v>
      </c>
      <c r="B42" t="s">
        <v>132</v>
      </c>
      <c r="C42">
        <v>75</v>
      </c>
      <c r="D42" t="s">
        <v>16</v>
      </c>
      <c r="E42" s="1">
        <v>45478</v>
      </c>
      <c r="F42" s="1">
        <v>45490</v>
      </c>
      <c r="G42" t="s">
        <v>32</v>
      </c>
      <c r="H42" t="s">
        <v>48</v>
      </c>
      <c r="I42">
        <v>2989</v>
      </c>
      <c r="J42" t="s">
        <v>34</v>
      </c>
      <c r="K42" t="s">
        <v>133</v>
      </c>
      <c r="L42" t="s">
        <v>36</v>
      </c>
      <c r="M42" t="s">
        <v>50</v>
      </c>
      <c r="N42">
        <v>12</v>
      </c>
      <c r="O42" t="str">
        <f t="shared" si="0"/>
        <v>Extended</v>
      </c>
    </row>
    <row r="43" spans="1:15" x14ac:dyDescent="0.3">
      <c r="A43" t="s">
        <v>134</v>
      </c>
      <c r="B43" t="s">
        <v>135</v>
      </c>
      <c r="C43">
        <v>20</v>
      </c>
      <c r="D43" t="s">
        <v>16</v>
      </c>
      <c r="E43" s="1">
        <v>45684</v>
      </c>
      <c r="F43" s="1">
        <v>45691</v>
      </c>
      <c r="G43" t="s">
        <v>94</v>
      </c>
      <c r="H43" t="s">
        <v>27</v>
      </c>
      <c r="I43">
        <v>1105</v>
      </c>
      <c r="J43" t="s">
        <v>34</v>
      </c>
      <c r="K43" t="s">
        <v>44</v>
      </c>
      <c r="L43" t="s">
        <v>78</v>
      </c>
      <c r="M43" t="s">
        <v>22</v>
      </c>
      <c r="N43">
        <v>7</v>
      </c>
      <c r="O43" t="str">
        <f t="shared" si="0"/>
        <v>Extended</v>
      </c>
    </row>
    <row r="44" spans="1:15" x14ac:dyDescent="0.3">
      <c r="A44" t="s">
        <v>136</v>
      </c>
      <c r="B44" t="s">
        <v>137</v>
      </c>
      <c r="C44">
        <v>27</v>
      </c>
      <c r="D44" t="s">
        <v>25</v>
      </c>
      <c r="E44" s="1">
        <v>45534</v>
      </c>
      <c r="F44" s="1">
        <v>45538</v>
      </c>
      <c r="G44" t="s">
        <v>32</v>
      </c>
      <c r="H44" t="s">
        <v>48</v>
      </c>
      <c r="I44">
        <v>8047</v>
      </c>
      <c r="J44" t="s">
        <v>19</v>
      </c>
      <c r="K44" t="s">
        <v>20</v>
      </c>
      <c r="L44" t="s">
        <v>59</v>
      </c>
      <c r="M44" t="s">
        <v>50</v>
      </c>
      <c r="N44">
        <v>4</v>
      </c>
      <c r="O44" t="str">
        <f t="shared" si="0"/>
        <v>Extended</v>
      </c>
    </row>
    <row r="45" spans="1:15" x14ac:dyDescent="0.3">
      <c r="A45" t="s">
        <v>138</v>
      </c>
      <c r="B45" t="s">
        <v>139</v>
      </c>
      <c r="C45">
        <v>86</v>
      </c>
      <c r="D45" t="s">
        <v>16</v>
      </c>
      <c r="E45" s="1">
        <v>45609</v>
      </c>
      <c r="F45" s="1">
        <v>45620</v>
      </c>
      <c r="G45" t="s">
        <v>32</v>
      </c>
      <c r="H45" t="s">
        <v>18</v>
      </c>
      <c r="I45">
        <v>6434</v>
      </c>
      <c r="J45" t="s">
        <v>19</v>
      </c>
      <c r="K45" t="s">
        <v>133</v>
      </c>
      <c r="L45" t="s">
        <v>36</v>
      </c>
      <c r="M45" t="s">
        <v>50</v>
      </c>
      <c r="N45">
        <v>11</v>
      </c>
      <c r="O45" t="str">
        <f t="shared" si="0"/>
        <v>Extended</v>
      </c>
    </row>
    <row r="46" spans="1:15" x14ac:dyDescent="0.3">
      <c r="A46" t="s">
        <v>140</v>
      </c>
      <c r="B46" t="s">
        <v>141</v>
      </c>
      <c r="C46">
        <v>83</v>
      </c>
      <c r="D46" t="s">
        <v>16</v>
      </c>
      <c r="E46" s="1">
        <v>45650</v>
      </c>
      <c r="F46" s="1">
        <v>45653</v>
      </c>
      <c r="G46" t="s">
        <v>26</v>
      </c>
      <c r="H46" t="s">
        <v>48</v>
      </c>
      <c r="I46">
        <v>4500</v>
      </c>
      <c r="J46" t="s">
        <v>34</v>
      </c>
      <c r="K46" t="s">
        <v>49</v>
      </c>
      <c r="L46" t="s">
        <v>21</v>
      </c>
      <c r="M46" t="s">
        <v>22</v>
      </c>
      <c r="N46">
        <v>3</v>
      </c>
      <c r="O46" t="str">
        <f t="shared" si="0"/>
        <v>Normal</v>
      </c>
    </row>
    <row r="47" spans="1:15" x14ac:dyDescent="0.3">
      <c r="A47" t="s">
        <v>142</v>
      </c>
      <c r="B47" t="s">
        <v>143</v>
      </c>
      <c r="C47">
        <v>82</v>
      </c>
      <c r="D47" t="s">
        <v>25</v>
      </c>
      <c r="E47" s="1">
        <v>45743</v>
      </c>
      <c r="F47" s="1">
        <v>45757</v>
      </c>
      <c r="G47" t="s">
        <v>17</v>
      </c>
      <c r="H47" t="s">
        <v>48</v>
      </c>
      <c r="I47">
        <v>5295</v>
      </c>
      <c r="J47" t="s">
        <v>34</v>
      </c>
      <c r="K47" t="s">
        <v>40</v>
      </c>
      <c r="L47" t="s">
        <v>55</v>
      </c>
      <c r="M47" t="s">
        <v>29</v>
      </c>
      <c r="N47">
        <v>14</v>
      </c>
      <c r="O47" t="str">
        <f t="shared" si="0"/>
        <v>Extended</v>
      </c>
    </row>
    <row r="48" spans="1:15" x14ac:dyDescent="0.3">
      <c r="A48" t="s">
        <v>144</v>
      </c>
      <c r="B48" t="s">
        <v>145</v>
      </c>
      <c r="C48">
        <v>19</v>
      </c>
      <c r="D48" t="s">
        <v>16</v>
      </c>
      <c r="E48" s="1">
        <v>45474</v>
      </c>
      <c r="F48" s="1">
        <v>45480</v>
      </c>
      <c r="G48" t="s">
        <v>43</v>
      </c>
      <c r="H48" t="s">
        <v>27</v>
      </c>
      <c r="I48">
        <v>5872</v>
      </c>
      <c r="J48" t="s">
        <v>19</v>
      </c>
      <c r="K48" t="s">
        <v>54</v>
      </c>
      <c r="L48" t="s">
        <v>59</v>
      </c>
      <c r="M48" t="s">
        <v>22</v>
      </c>
      <c r="N48">
        <v>6</v>
      </c>
      <c r="O48" t="str">
        <f t="shared" si="0"/>
        <v>Extended</v>
      </c>
    </row>
    <row r="49" spans="1:15" x14ac:dyDescent="0.3">
      <c r="A49" t="s">
        <v>146</v>
      </c>
      <c r="B49" t="s">
        <v>147</v>
      </c>
      <c r="C49">
        <v>22</v>
      </c>
      <c r="D49" t="s">
        <v>25</v>
      </c>
      <c r="E49" s="1">
        <v>45453</v>
      </c>
      <c r="F49" s="1">
        <v>45465</v>
      </c>
      <c r="G49" t="s">
        <v>94</v>
      </c>
      <c r="H49" t="s">
        <v>33</v>
      </c>
      <c r="I49">
        <v>1934</v>
      </c>
      <c r="J49" t="s">
        <v>34</v>
      </c>
      <c r="K49" t="s">
        <v>133</v>
      </c>
      <c r="L49" t="s">
        <v>21</v>
      </c>
      <c r="M49" t="s">
        <v>50</v>
      </c>
      <c r="N49">
        <v>12</v>
      </c>
      <c r="O49" t="str">
        <f t="shared" si="0"/>
        <v>Extended</v>
      </c>
    </row>
    <row r="50" spans="1:15" x14ac:dyDescent="0.3">
      <c r="A50" t="s">
        <v>148</v>
      </c>
      <c r="B50" t="s">
        <v>149</v>
      </c>
      <c r="C50">
        <v>48</v>
      </c>
      <c r="D50" t="s">
        <v>25</v>
      </c>
      <c r="E50" s="1">
        <v>45764</v>
      </c>
      <c r="F50" s="1">
        <v>45769</v>
      </c>
      <c r="G50" t="s">
        <v>62</v>
      </c>
      <c r="H50" t="s">
        <v>89</v>
      </c>
      <c r="I50">
        <v>9854</v>
      </c>
      <c r="J50" t="s">
        <v>34</v>
      </c>
      <c r="K50" t="s">
        <v>133</v>
      </c>
      <c r="L50" t="s">
        <v>45</v>
      </c>
      <c r="M50" t="s">
        <v>29</v>
      </c>
      <c r="N50">
        <v>5</v>
      </c>
      <c r="O50" t="str">
        <f t="shared" si="0"/>
        <v>Extended</v>
      </c>
    </row>
    <row r="51" spans="1:15" x14ac:dyDescent="0.3">
      <c r="A51" t="s">
        <v>150</v>
      </c>
      <c r="B51" t="s">
        <v>151</v>
      </c>
      <c r="C51">
        <v>11</v>
      </c>
      <c r="D51" t="s">
        <v>16</v>
      </c>
      <c r="E51" s="1">
        <v>45714</v>
      </c>
      <c r="F51" s="1">
        <v>45725</v>
      </c>
      <c r="G51" t="s">
        <v>94</v>
      </c>
      <c r="H51" t="s">
        <v>39</v>
      </c>
      <c r="I51">
        <v>9956</v>
      </c>
      <c r="J51" t="s">
        <v>19</v>
      </c>
      <c r="K51" t="s">
        <v>54</v>
      </c>
      <c r="L51" t="s">
        <v>28</v>
      </c>
      <c r="M51" t="s">
        <v>29</v>
      </c>
      <c r="N51">
        <v>11</v>
      </c>
      <c r="O51" t="str">
        <f t="shared" si="0"/>
        <v>Extended</v>
      </c>
    </row>
    <row r="52" spans="1:15" x14ac:dyDescent="0.3">
      <c r="A52" t="s">
        <v>152</v>
      </c>
      <c r="B52" t="s">
        <v>153</v>
      </c>
      <c r="C52">
        <v>83</v>
      </c>
      <c r="D52" t="s">
        <v>16</v>
      </c>
      <c r="E52" s="1">
        <v>45603</v>
      </c>
      <c r="F52" s="1">
        <v>45608</v>
      </c>
      <c r="G52" t="s">
        <v>26</v>
      </c>
      <c r="H52" t="s">
        <v>18</v>
      </c>
      <c r="I52">
        <v>7149</v>
      </c>
      <c r="J52" t="s">
        <v>34</v>
      </c>
      <c r="K52" t="s">
        <v>20</v>
      </c>
      <c r="L52" t="s">
        <v>21</v>
      </c>
      <c r="M52" t="s">
        <v>29</v>
      </c>
      <c r="N52">
        <v>5</v>
      </c>
      <c r="O52" t="str">
        <f t="shared" si="0"/>
        <v>Extended</v>
      </c>
    </row>
    <row r="53" spans="1:15" x14ac:dyDescent="0.3">
      <c r="A53" t="s">
        <v>154</v>
      </c>
      <c r="B53" t="s">
        <v>155</v>
      </c>
      <c r="C53">
        <v>22</v>
      </c>
      <c r="D53" t="s">
        <v>16</v>
      </c>
      <c r="E53" s="1">
        <v>45692</v>
      </c>
      <c r="F53" s="1">
        <v>45697</v>
      </c>
      <c r="G53" t="s">
        <v>32</v>
      </c>
      <c r="H53" t="s">
        <v>33</v>
      </c>
      <c r="I53">
        <v>1138</v>
      </c>
      <c r="J53" t="s">
        <v>34</v>
      </c>
      <c r="K53" t="s">
        <v>40</v>
      </c>
      <c r="L53" t="s">
        <v>55</v>
      </c>
      <c r="M53" t="s">
        <v>22</v>
      </c>
      <c r="N53">
        <v>5</v>
      </c>
      <c r="O53" t="str">
        <f t="shared" si="0"/>
        <v>Extended</v>
      </c>
    </row>
    <row r="54" spans="1:15" x14ac:dyDescent="0.3">
      <c r="A54" t="s">
        <v>156</v>
      </c>
      <c r="B54" t="s">
        <v>157</v>
      </c>
      <c r="C54">
        <v>35</v>
      </c>
      <c r="D54" t="s">
        <v>16</v>
      </c>
      <c r="E54" s="1">
        <v>45805</v>
      </c>
      <c r="F54" s="1">
        <v>45816</v>
      </c>
      <c r="G54" t="s">
        <v>17</v>
      </c>
      <c r="H54" t="s">
        <v>53</v>
      </c>
      <c r="I54">
        <v>8534</v>
      </c>
      <c r="J54" t="s">
        <v>34</v>
      </c>
      <c r="K54" t="s">
        <v>44</v>
      </c>
      <c r="L54" t="s">
        <v>55</v>
      </c>
      <c r="M54" t="s">
        <v>22</v>
      </c>
      <c r="N54">
        <v>11</v>
      </c>
      <c r="O54" t="str">
        <f t="shared" si="0"/>
        <v>Extended</v>
      </c>
    </row>
    <row r="55" spans="1:15" x14ac:dyDescent="0.3">
      <c r="A55" t="s">
        <v>158</v>
      </c>
      <c r="B55" t="s">
        <v>159</v>
      </c>
      <c r="C55">
        <v>24</v>
      </c>
      <c r="D55" t="s">
        <v>16</v>
      </c>
      <c r="E55" s="1">
        <v>45641</v>
      </c>
      <c r="F55" s="1">
        <v>45649</v>
      </c>
      <c r="G55" t="s">
        <v>32</v>
      </c>
      <c r="H55" t="s">
        <v>27</v>
      </c>
      <c r="I55">
        <v>3956</v>
      </c>
      <c r="J55" t="s">
        <v>19</v>
      </c>
      <c r="K55" t="s">
        <v>49</v>
      </c>
      <c r="L55" t="s">
        <v>21</v>
      </c>
      <c r="M55" t="s">
        <v>22</v>
      </c>
      <c r="N55">
        <v>8</v>
      </c>
      <c r="O55" t="str">
        <f t="shared" si="0"/>
        <v>Extended</v>
      </c>
    </row>
    <row r="56" spans="1:15" x14ac:dyDescent="0.3">
      <c r="A56" t="s">
        <v>160</v>
      </c>
      <c r="B56" t="s">
        <v>161</v>
      </c>
      <c r="C56">
        <v>12</v>
      </c>
      <c r="D56" t="s">
        <v>16</v>
      </c>
      <c r="E56" s="1">
        <v>45694</v>
      </c>
      <c r="F56" s="1">
        <v>45702</v>
      </c>
      <c r="G56" t="s">
        <v>26</v>
      </c>
      <c r="H56" t="s">
        <v>18</v>
      </c>
      <c r="I56">
        <v>4793</v>
      </c>
      <c r="J56" t="s">
        <v>34</v>
      </c>
      <c r="K56" t="s">
        <v>133</v>
      </c>
      <c r="L56" t="s">
        <v>21</v>
      </c>
      <c r="M56" t="s">
        <v>29</v>
      </c>
      <c r="N56">
        <v>8</v>
      </c>
      <c r="O56" t="str">
        <f t="shared" si="0"/>
        <v>Extended</v>
      </c>
    </row>
    <row r="57" spans="1:15" x14ac:dyDescent="0.3">
      <c r="A57" t="s">
        <v>162</v>
      </c>
      <c r="B57" t="s">
        <v>163</v>
      </c>
      <c r="C57">
        <v>11</v>
      </c>
      <c r="D57" t="s">
        <v>25</v>
      </c>
      <c r="E57" s="1">
        <v>45654</v>
      </c>
      <c r="F57" s="1">
        <v>45660</v>
      </c>
      <c r="G57" t="s">
        <v>43</v>
      </c>
      <c r="H57" t="s">
        <v>27</v>
      </c>
      <c r="I57">
        <v>5410</v>
      </c>
      <c r="J57" t="s">
        <v>34</v>
      </c>
      <c r="K57" t="s">
        <v>20</v>
      </c>
      <c r="L57" t="s">
        <v>59</v>
      </c>
      <c r="M57" t="s">
        <v>29</v>
      </c>
      <c r="N57">
        <v>6</v>
      </c>
      <c r="O57" t="str">
        <f t="shared" si="0"/>
        <v>Extended</v>
      </c>
    </row>
    <row r="58" spans="1:15" x14ac:dyDescent="0.3">
      <c r="A58" t="s">
        <v>164</v>
      </c>
      <c r="B58" t="s">
        <v>165</v>
      </c>
      <c r="C58">
        <v>43</v>
      </c>
      <c r="D58" t="s">
        <v>16</v>
      </c>
      <c r="E58" s="1">
        <v>45626</v>
      </c>
      <c r="F58" s="1">
        <v>45634</v>
      </c>
      <c r="G58" t="s">
        <v>43</v>
      </c>
      <c r="H58" t="s">
        <v>33</v>
      </c>
      <c r="I58">
        <v>9682</v>
      </c>
      <c r="J58" t="s">
        <v>34</v>
      </c>
      <c r="K58" t="s">
        <v>20</v>
      </c>
      <c r="L58" t="s">
        <v>28</v>
      </c>
      <c r="M58" t="s">
        <v>29</v>
      </c>
      <c r="N58">
        <v>8</v>
      </c>
      <c r="O58" t="str">
        <f t="shared" si="0"/>
        <v>Extended</v>
      </c>
    </row>
    <row r="59" spans="1:15" x14ac:dyDescent="0.3">
      <c r="A59" t="s">
        <v>166</v>
      </c>
      <c r="B59" t="s">
        <v>167</v>
      </c>
      <c r="C59">
        <v>50</v>
      </c>
      <c r="D59" t="s">
        <v>25</v>
      </c>
      <c r="E59" s="1">
        <v>45795</v>
      </c>
      <c r="F59" s="1">
        <v>45806</v>
      </c>
      <c r="G59" t="s">
        <v>43</v>
      </c>
      <c r="H59" t="s">
        <v>18</v>
      </c>
      <c r="I59">
        <v>2459</v>
      </c>
      <c r="J59" t="s">
        <v>19</v>
      </c>
      <c r="K59" t="s">
        <v>133</v>
      </c>
      <c r="L59" t="s">
        <v>59</v>
      </c>
      <c r="M59" t="s">
        <v>50</v>
      </c>
      <c r="N59">
        <v>11</v>
      </c>
      <c r="O59" t="str">
        <f t="shared" si="0"/>
        <v>Extended</v>
      </c>
    </row>
    <row r="60" spans="1:15" x14ac:dyDescent="0.3">
      <c r="A60" t="s">
        <v>168</v>
      </c>
      <c r="B60" t="s">
        <v>169</v>
      </c>
      <c r="C60">
        <v>75</v>
      </c>
      <c r="D60" t="s">
        <v>25</v>
      </c>
      <c r="E60" s="1">
        <v>45531</v>
      </c>
      <c r="F60" s="1">
        <v>45545</v>
      </c>
      <c r="G60" t="s">
        <v>32</v>
      </c>
      <c r="H60" t="s">
        <v>63</v>
      </c>
      <c r="I60">
        <v>2035</v>
      </c>
      <c r="J60" t="s">
        <v>34</v>
      </c>
      <c r="K60" t="s">
        <v>44</v>
      </c>
      <c r="L60" t="s">
        <v>21</v>
      </c>
      <c r="M60" t="s">
        <v>22</v>
      </c>
      <c r="N60">
        <v>14</v>
      </c>
      <c r="O60" t="str">
        <f t="shared" si="0"/>
        <v>Extended</v>
      </c>
    </row>
    <row r="61" spans="1:15" x14ac:dyDescent="0.3">
      <c r="A61" t="s">
        <v>170</v>
      </c>
      <c r="B61" t="s">
        <v>171</v>
      </c>
      <c r="C61">
        <v>49</v>
      </c>
      <c r="D61" t="s">
        <v>16</v>
      </c>
      <c r="E61" s="1">
        <v>45621</v>
      </c>
      <c r="F61" s="1">
        <v>45632</v>
      </c>
      <c r="G61" t="s">
        <v>43</v>
      </c>
      <c r="H61" t="s">
        <v>73</v>
      </c>
      <c r="I61">
        <v>9304</v>
      </c>
      <c r="J61" t="s">
        <v>34</v>
      </c>
      <c r="K61" t="s">
        <v>40</v>
      </c>
      <c r="L61" t="s">
        <v>28</v>
      </c>
      <c r="M61" t="s">
        <v>22</v>
      </c>
      <c r="N61">
        <v>11</v>
      </c>
      <c r="O61" t="str">
        <f t="shared" si="0"/>
        <v>Extended</v>
      </c>
    </row>
    <row r="62" spans="1:15" x14ac:dyDescent="0.3">
      <c r="A62" t="s">
        <v>172</v>
      </c>
      <c r="B62" t="s">
        <v>173</v>
      </c>
      <c r="C62">
        <v>6</v>
      </c>
      <c r="D62" t="s">
        <v>25</v>
      </c>
      <c r="E62" s="1">
        <v>45680</v>
      </c>
      <c r="F62" s="1">
        <v>45693</v>
      </c>
      <c r="G62" t="s">
        <v>62</v>
      </c>
      <c r="H62" t="s">
        <v>48</v>
      </c>
      <c r="I62">
        <v>3760</v>
      </c>
      <c r="J62" t="s">
        <v>19</v>
      </c>
      <c r="K62" t="s">
        <v>20</v>
      </c>
      <c r="L62" t="s">
        <v>21</v>
      </c>
      <c r="M62" t="s">
        <v>29</v>
      </c>
      <c r="N62">
        <v>13</v>
      </c>
      <c r="O62" t="str">
        <f t="shared" si="0"/>
        <v>Extended</v>
      </c>
    </row>
    <row r="63" spans="1:15" x14ac:dyDescent="0.3">
      <c r="A63" t="s">
        <v>174</v>
      </c>
      <c r="B63" t="s">
        <v>175</v>
      </c>
      <c r="C63">
        <v>14</v>
      </c>
      <c r="D63" t="s">
        <v>16</v>
      </c>
      <c r="E63" s="1">
        <v>45547</v>
      </c>
      <c r="F63" s="1">
        <v>45549</v>
      </c>
      <c r="G63" t="s">
        <v>94</v>
      </c>
      <c r="H63" t="s">
        <v>89</v>
      </c>
      <c r="I63">
        <v>4181</v>
      </c>
      <c r="J63" t="s">
        <v>19</v>
      </c>
      <c r="K63" t="s">
        <v>49</v>
      </c>
      <c r="L63" t="s">
        <v>21</v>
      </c>
      <c r="M63" t="s">
        <v>50</v>
      </c>
      <c r="N63">
        <v>2</v>
      </c>
      <c r="O63" t="str">
        <f t="shared" si="0"/>
        <v>Normal</v>
      </c>
    </row>
    <row r="64" spans="1:15" x14ac:dyDescent="0.3">
      <c r="A64" t="s">
        <v>176</v>
      </c>
      <c r="B64" t="s">
        <v>177</v>
      </c>
      <c r="C64">
        <v>59</v>
      </c>
      <c r="D64" t="s">
        <v>25</v>
      </c>
      <c r="E64" s="1">
        <v>45694</v>
      </c>
      <c r="F64" s="1">
        <v>45704</v>
      </c>
      <c r="G64" t="s">
        <v>32</v>
      </c>
      <c r="H64" t="s">
        <v>33</v>
      </c>
      <c r="I64">
        <v>2952</v>
      </c>
      <c r="J64" t="s">
        <v>19</v>
      </c>
      <c r="K64" t="s">
        <v>40</v>
      </c>
      <c r="L64" t="s">
        <v>21</v>
      </c>
      <c r="M64" t="s">
        <v>22</v>
      </c>
      <c r="N64">
        <v>10</v>
      </c>
      <c r="O64" t="str">
        <f t="shared" si="0"/>
        <v>Extended</v>
      </c>
    </row>
    <row r="65" spans="1:15" x14ac:dyDescent="0.3">
      <c r="A65" t="s">
        <v>178</v>
      </c>
      <c r="B65" t="s">
        <v>179</v>
      </c>
      <c r="C65">
        <v>52</v>
      </c>
      <c r="D65" t="s">
        <v>16</v>
      </c>
      <c r="E65" s="1">
        <v>45727</v>
      </c>
      <c r="F65" s="1">
        <v>45729</v>
      </c>
      <c r="G65" t="s">
        <v>43</v>
      </c>
      <c r="H65" t="s">
        <v>27</v>
      </c>
      <c r="I65">
        <v>3265</v>
      </c>
      <c r="J65" t="s">
        <v>34</v>
      </c>
      <c r="K65" t="s">
        <v>44</v>
      </c>
      <c r="L65" t="s">
        <v>21</v>
      </c>
      <c r="M65" t="s">
        <v>50</v>
      </c>
      <c r="N65">
        <v>2</v>
      </c>
      <c r="O65" t="str">
        <f t="shared" si="0"/>
        <v>Normal</v>
      </c>
    </row>
    <row r="66" spans="1:15" x14ac:dyDescent="0.3">
      <c r="A66" t="s">
        <v>180</v>
      </c>
      <c r="B66" t="s">
        <v>181</v>
      </c>
      <c r="C66">
        <v>53</v>
      </c>
      <c r="D66" t="s">
        <v>25</v>
      </c>
      <c r="E66" s="1">
        <v>45538</v>
      </c>
      <c r="F66" s="1">
        <v>45550</v>
      </c>
      <c r="G66" t="s">
        <v>26</v>
      </c>
      <c r="H66" t="s">
        <v>33</v>
      </c>
      <c r="I66">
        <v>9007</v>
      </c>
      <c r="J66" t="s">
        <v>19</v>
      </c>
      <c r="K66" t="s">
        <v>40</v>
      </c>
      <c r="L66" t="s">
        <v>36</v>
      </c>
      <c r="M66" t="s">
        <v>50</v>
      </c>
      <c r="N66">
        <v>12</v>
      </c>
      <c r="O66" t="str">
        <f t="shared" si="0"/>
        <v>Extended</v>
      </c>
    </row>
    <row r="67" spans="1:15" x14ac:dyDescent="0.3">
      <c r="A67" t="s">
        <v>182</v>
      </c>
      <c r="B67" t="s">
        <v>183</v>
      </c>
      <c r="C67">
        <v>78</v>
      </c>
      <c r="D67" t="s">
        <v>16</v>
      </c>
      <c r="E67" s="1">
        <v>45755</v>
      </c>
      <c r="F67" s="1">
        <v>45762</v>
      </c>
      <c r="G67" t="s">
        <v>32</v>
      </c>
      <c r="H67" t="s">
        <v>33</v>
      </c>
      <c r="I67">
        <v>5020</v>
      </c>
      <c r="J67" t="s">
        <v>19</v>
      </c>
      <c r="K67" t="s">
        <v>54</v>
      </c>
      <c r="L67" t="s">
        <v>36</v>
      </c>
      <c r="M67" t="s">
        <v>29</v>
      </c>
      <c r="N67">
        <v>7</v>
      </c>
      <c r="O67" t="str">
        <f t="shared" ref="O67:O130" si="1">IF(N67&gt;3,"Extended","Normal")</f>
        <v>Extended</v>
      </c>
    </row>
    <row r="68" spans="1:15" x14ac:dyDescent="0.3">
      <c r="A68" t="s">
        <v>184</v>
      </c>
      <c r="B68" t="s">
        <v>185</v>
      </c>
      <c r="C68">
        <v>41</v>
      </c>
      <c r="D68" t="s">
        <v>25</v>
      </c>
      <c r="E68" s="1">
        <v>45615</v>
      </c>
      <c r="F68" s="1">
        <v>45625</v>
      </c>
      <c r="G68" t="s">
        <v>17</v>
      </c>
      <c r="H68" t="s">
        <v>27</v>
      </c>
      <c r="I68">
        <v>8939</v>
      </c>
      <c r="J68" t="s">
        <v>34</v>
      </c>
      <c r="K68" t="s">
        <v>49</v>
      </c>
      <c r="L68" t="s">
        <v>59</v>
      </c>
      <c r="M68" t="s">
        <v>29</v>
      </c>
      <c r="N68">
        <v>10</v>
      </c>
      <c r="O68" t="str">
        <f t="shared" si="1"/>
        <v>Extended</v>
      </c>
    </row>
    <row r="69" spans="1:15" x14ac:dyDescent="0.3">
      <c r="A69" t="s">
        <v>186</v>
      </c>
      <c r="B69" t="s">
        <v>187</v>
      </c>
      <c r="C69">
        <v>74</v>
      </c>
      <c r="D69" t="s">
        <v>16</v>
      </c>
      <c r="E69" s="1">
        <v>45738</v>
      </c>
      <c r="F69" s="1">
        <v>45741</v>
      </c>
      <c r="G69" t="s">
        <v>66</v>
      </c>
      <c r="H69" t="s">
        <v>89</v>
      </c>
      <c r="I69">
        <v>2544</v>
      </c>
      <c r="J69" t="s">
        <v>19</v>
      </c>
      <c r="K69" t="s">
        <v>54</v>
      </c>
      <c r="L69" t="s">
        <v>45</v>
      </c>
      <c r="M69" t="s">
        <v>50</v>
      </c>
      <c r="N69">
        <v>3</v>
      </c>
      <c r="O69" t="str">
        <f t="shared" si="1"/>
        <v>Normal</v>
      </c>
    </row>
    <row r="70" spans="1:15" x14ac:dyDescent="0.3">
      <c r="A70" t="s">
        <v>188</v>
      </c>
      <c r="B70" t="s">
        <v>189</v>
      </c>
      <c r="C70">
        <v>82</v>
      </c>
      <c r="D70" t="s">
        <v>25</v>
      </c>
      <c r="E70" s="1">
        <v>45666</v>
      </c>
      <c r="F70" s="1">
        <v>45676</v>
      </c>
      <c r="G70" t="s">
        <v>17</v>
      </c>
      <c r="H70" t="s">
        <v>48</v>
      </c>
      <c r="I70">
        <v>3583</v>
      </c>
      <c r="J70" t="s">
        <v>19</v>
      </c>
      <c r="K70" t="s">
        <v>49</v>
      </c>
      <c r="L70" t="s">
        <v>21</v>
      </c>
      <c r="M70" t="s">
        <v>22</v>
      </c>
      <c r="N70">
        <v>10</v>
      </c>
      <c r="O70" t="str">
        <f t="shared" si="1"/>
        <v>Extended</v>
      </c>
    </row>
    <row r="71" spans="1:15" x14ac:dyDescent="0.3">
      <c r="A71" t="s">
        <v>190</v>
      </c>
      <c r="B71" t="s">
        <v>191</v>
      </c>
      <c r="C71">
        <v>4</v>
      </c>
      <c r="D71" t="s">
        <v>16</v>
      </c>
      <c r="E71" s="1">
        <v>45599</v>
      </c>
      <c r="F71" s="1">
        <v>45600</v>
      </c>
      <c r="G71" t="s">
        <v>43</v>
      </c>
      <c r="H71" t="s">
        <v>58</v>
      </c>
      <c r="I71">
        <v>4842</v>
      </c>
      <c r="J71" t="s">
        <v>34</v>
      </c>
      <c r="K71" t="s">
        <v>49</v>
      </c>
      <c r="L71" t="s">
        <v>55</v>
      </c>
      <c r="M71" t="s">
        <v>22</v>
      </c>
      <c r="N71">
        <v>1</v>
      </c>
      <c r="O71" t="str">
        <f t="shared" si="1"/>
        <v>Normal</v>
      </c>
    </row>
    <row r="72" spans="1:15" x14ac:dyDescent="0.3">
      <c r="A72" t="s">
        <v>192</v>
      </c>
      <c r="B72" t="s">
        <v>193</v>
      </c>
      <c r="C72">
        <v>90</v>
      </c>
      <c r="D72" t="s">
        <v>16</v>
      </c>
      <c r="E72" s="1">
        <v>45749</v>
      </c>
      <c r="F72" s="1">
        <v>45761</v>
      </c>
      <c r="G72" t="s">
        <v>17</v>
      </c>
      <c r="H72" t="s">
        <v>63</v>
      </c>
      <c r="I72">
        <v>9419</v>
      </c>
      <c r="J72" t="s">
        <v>19</v>
      </c>
      <c r="K72" t="s">
        <v>20</v>
      </c>
      <c r="L72" t="s">
        <v>36</v>
      </c>
      <c r="M72" t="s">
        <v>29</v>
      </c>
      <c r="N72">
        <v>12</v>
      </c>
      <c r="O72" t="str">
        <f t="shared" si="1"/>
        <v>Extended</v>
      </c>
    </row>
    <row r="73" spans="1:15" x14ac:dyDescent="0.3">
      <c r="A73" t="s">
        <v>194</v>
      </c>
      <c r="B73" t="s">
        <v>195</v>
      </c>
      <c r="C73">
        <v>86</v>
      </c>
      <c r="D73" t="s">
        <v>16</v>
      </c>
      <c r="E73" s="1">
        <v>45767</v>
      </c>
      <c r="F73" s="1">
        <v>45768</v>
      </c>
      <c r="G73" t="s">
        <v>62</v>
      </c>
      <c r="H73" t="s">
        <v>39</v>
      </c>
      <c r="I73">
        <v>3902</v>
      </c>
      <c r="J73" t="s">
        <v>19</v>
      </c>
      <c r="K73" t="s">
        <v>49</v>
      </c>
      <c r="L73" t="s">
        <v>78</v>
      </c>
      <c r="M73" t="s">
        <v>22</v>
      </c>
      <c r="N73">
        <v>1</v>
      </c>
      <c r="O73" t="str">
        <f t="shared" si="1"/>
        <v>Normal</v>
      </c>
    </row>
    <row r="74" spans="1:15" x14ac:dyDescent="0.3">
      <c r="A74" t="s">
        <v>196</v>
      </c>
      <c r="B74" t="s">
        <v>197</v>
      </c>
      <c r="C74">
        <v>4</v>
      </c>
      <c r="D74" t="s">
        <v>25</v>
      </c>
      <c r="E74" s="1">
        <v>45520</v>
      </c>
      <c r="F74" s="1">
        <v>45529</v>
      </c>
      <c r="G74" t="s">
        <v>62</v>
      </c>
      <c r="H74" t="s">
        <v>27</v>
      </c>
      <c r="I74">
        <v>5137</v>
      </c>
      <c r="J74" t="s">
        <v>19</v>
      </c>
      <c r="K74" t="s">
        <v>44</v>
      </c>
      <c r="L74" t="s">
        <v>28</v>
      </c>
      <c r="M74" t="s">
        <v>50</v>
      </c>
      <c r="N74">
        <v>9</v>
      </c>
      <c r="O74" t="str">
        <f t="shared" si="1"/>
        <v>Extended</v>
      </c>
    </row>
    <row r="75" spans="1:15" x14ac:dyDescent="0.3">
      <c r="A75" t="s">
        <v>198</v>
      </c>
      <c r="B75" t="s">
        <v>199</v>
      </c>
      <c r="C75">
        <v>44</v>
      </c>
      <c r="D75" t="s">
        <v>25</v>
      </c>
      <c r="E75" s="1">
        <v>45479</v>
      </c>
      <c r="F75" s="1">
        <v>45488</v>
      </c>
      <c r="G75" t="s">
        <v>17</v>
      </c>
      <c r="H75" t="s">
        <v>27</v>
      </c>
      <c r="I75">
        <v>6409</v>
      </c>
      <c r="J75" t="s">
        <v>19</v>
      </c>
      <c r="K75" t="s">
        <v>133</v>
      </c>
      <c r="L75" t="s">
        <v>55</v>
      </c>
      <c r="M75" t="s">
        <v>50</v>
      </c>
      <c r="N75">
        <v>9</v>
      </c>
      <c r="O75" t="str">
        <f t="shared" si="1"/>
        <v>Extended</v>
      </c>
    </row>
    <row r="76" spans="1:15" x14ac:dyDescent="0.3">
      <c r="A76" t="s">
        <v>200</v>
      </c>
      <c r="B76" t="s">
        <v>201</v>
      </c>
      <c r="C76">
        <v>10</v>
      </c>
      <c r="D76" t="s">
        <v>16</v>
      </c>
      <c r="E76" s="1">
        <v>45522</v>
      </c>
      <c r="F76" s="1">
        <v>45531</v>
      </c>
      <c r="G76" t="s">
        <v>32</v>
      </c>
      <c r="H76" t="s">
        <v>63</v>
      </c>
      <c r="I76">
        <v>6262</v>
      </c>
      <c r="J76" t="s">
        <v>19</v>
      </c>
      <c r="K76" t="s">
        <v>35</v>
      </c>
      <c r="L76" t="s">
        <v>21</v>
      </c>
      <c r="M76" t="s">
        <v>50</v>
      </c>
      <c r="N76">
        <v>9</v>
      </c>
      <c r="O76" t="str">
        <f t="shared" si="1"/>
        <v>Extended</v>
      </c>
    </row>
    <row r="77" spans="1:15" x14ac:dyDescent="0.3">
      <c r="A77" t="s">
        <v>202</v>
      </c>
      <c r="B77" t="s">
        <v>203</v>
      </c>
      <c r="C77">
        <v>37</v>
      </c>
      <c r="D77" t="s">
        <v>25</v>
      </c>
      <c r="E77" s="1">
        <v>45716</v>
      </c>
      <c r="F77" s="1">
        <v>45726</v>
      </c>
      <c r="G77" t="s">
        <v>26</v>
      </c>
      <c r="H77" t="s">
        <v>18</v>
      </c>
      <c r="I77">
        <v>1317</v>
      </c>
      <c r="J77" t="s">
        <v>19</v>
      </c>
      <c r="K77" t="s">
        <v>35</v>
      </c>
      <c r="L77" t="s">
        <v>59</v>
      </c>
      <c r="M77" t="s">
        <v>29</v>
      </c>
      <c r="N77">
        <v>10</v>
      </c>
      <c r="O77" t="str">
        <f t="shared" si="1"/>
        <v>Extended</v>
      </c>
    </row>
    <row r="78" spans="1:15" x14ac:dyDescent="0.3">
      <c r="A78" t="s">
        <v>204</v>
      </c>
      <c r="B78" t="s">
        <v>205</v>
      </c>
      <c r="C78">
        <v>10</v>
      </c>
      <c r="D78" t="s">
        <v>25</v>
      </c>
      <c r="E78" s="1">
        <v>45640</v>
      </c>
      <c r="F78" s="1">
        <v>45643</v>
      </c>
      <c r="G78" t="s">
        <v>94</v>
      </c>
      <c r="H78" t="s">
        <v>48</v>
      </c>
      <c r="I78">
        <v>3064</v>
      </c>
      <c r="J78" t="s">
        <v>34</v>
      </c>
      <c r="K78" t="s">
        <v>40</v>
      </c>
      <c r="L78" t="s">
        <v>78</v>
      </c>
      <c r="M78" t="s">
        <v>22</v>
      </c>
      <c r="N78">
        <v>3</v>
      </c>
      <c r="O78" t="str">
        <f t="shared" si="1"/>
        <v>Normal</v>
      </c>
    </row>
    <row r="79" spans="1:15" x14ac:dyDescent="0.3">
      <c r="A79" t="s">
        <v>206</v>
      </c>
      <c r="B79" t="s">
        <v>207</v>
      </c>
      <c r="C79">
        <v>18</v>
      </c>
      <c r="D79" t="s">
        <v>16</v>
      </c>
      <c r="E79" s="1">
        <v>45490</v>
      </c>
      <c r="F79" s="1">
        <v>45494</v>
      </c>
      <c r="G79" t="s">
        <v>66</v>
      </c>
      <c r="H79" t="s">
        <v>48</v>
      </c>
      <c r="I79">
        <v>2617</v>
      </c>
      <c r="J79" t="s">
        <v>34</v>
      </c>
      <c r="K79" t="s">
        <v>40</v>
      </c>
      <c r="L79" t="s">
        <v>45</v>
      </c>
      <c r="M79" t="s">
        <v>29</v>
      </c>
      <c r="N79">
        <v>4</v>
      </c>
      <c r="O79" t="str">
        <f t="shared" si="1"/>
        <v>Extended</v>
      </c>
    </row>
    <row r="80" spans="1:15" x14ac:dyDescent="0.3">
      <c r="A80" t="s">
        <v>208</v>
      </c>
      <c r="B80" t="s">
        <v>209</v>
      </c>
      <c r="C80">
        <v>25</v>
      </c>
      <c r="D80" t="s">
        <v>16</v>
      </c>
      <c r="E80" s="1">
        <v>45507</v>
      </c>
      <c r="F80" s="1">
        <v>45512</v>
      </c>
      <c r="G80" t="s">
        <v>94</v>
      </c>
      <c r="H80" t="s">
        <v>53</v>
      </c>
      <c r="I80">
        <v>6109</v>
      </c>
      <c r="J80" t="s">
        <v>19</v>
      </c>
      <c r="K80" t="s">
        <v>49</v>
      </c>
      <c r="L80" t="s">
        <v>36</v>
      </c>
      <c r="M80" t="s">
        <v>50</v>
      </c>
      <c r="N80">
        <v>5</v>
      </c>
      <c r="O80" t="str">
        <f t="shared" si="1"/>
        <v>Extended</v>
      </c>
    </row>
    <row r="81" spans="1:15" x14ac:dyDescent="0.3">
      <c r="A81" t="s">
        <v>210</v>
      </c>
      <c r="B81" t="s">
        <v>211</v>
      </c>
      <c r="C81">
        <v>62</v>
      </c>
      <c r="D81" t="s">
        <v>16</v>
      </c>
      <c r="E81" s="1">
        <v>45551</v>
      </c>
      <c r="F81" s="1">
        <v>45561</v>
      </c>
      <c r="G81" t="s">
        <v>17</v>
      </c>
      <c r="H81" t="s">
        <v>18</v>
      </c>
      <c r="I81">
        <v>6267</v>
      </c>
      <c r="J81" t="s">
        <v>34</v>
      </c>
      <c r="K81" t="s">
        <v>133</v>
      </c>
      <c r="L81" t="s">
        <v>45</v>
      </c>
      <c r="M81" t="s">
        <v>29</v>
      </c>
      <c r="N81">
        <v>10</v>
      </c>
      <c r="O81" t="str">
        <f t="shared" si="1"/>
        <v>Extended</v>
      </c>
    </row>
    <row r="82" spans="1:15" x14ac:dyDescent="0.3">
      <c r="A82" t="s">
        <v>212</v>
      </c>
      <c r="B82" t="s">
        <v>213</v>
      </c>
      <c r="C82">
        <v>77</v>
      </c>
      <c r="D82" t="s">
        <v>16</v>
      </c>
      <c r="E82" s="1">
        <v>45552</v>
      </c>
      <c r="F82" s="1">
        <v>45560</v>
      </c>
      <c r="G82" t="s">
        <v>62</v>
      </c>
      <c r="H82" t="s">
        <v>33</v>
      </c>
      <c r="I82">
        <v>6569</v>
      </c>
      <c r="J82" t="s">
        <v>34</v>
      </c>
      <c r="K82" t="s">
        <v>35</v>
      </c>
      <c r="L82" t="s">
        <v>28</v>
      </c>
      <c r="M82" t="s">
        <v>22</v>
      </c>
      <c r="N82">
        <v>8</v>
      </c>
      <c r="O82" t="str">
        <f t="shared" si="1"/>
        <v>Extended</v>
      </c>
    </row>
    <row r="83" spans="1:15" x14ac:dyDescent="0.3">
      <c r="A83" t="s">
        <v>214</v>
      </c>
      <c r="B83" t="s">
        <v>215</v>
      </c>
      <c r="C83">
        <v>72</v>
      </c>
      <c r="D83" t="s">
        <v>25</v>
      </c>
      <c r="E83" s="1">
        <v>45497</v>
      </c>
      <c r="F83" s="1">
        <v>45511</v>
      </c>
      <c r="G83" t="s">
        <v>62</v>
      </c>
      <c r="H83" t="s">
        <v>27</v>
      </c>
      <c r="I83">
        <v>5988</v>
      </c>
      <c r="J83" t="s">
        <v>34</v>
      </c>
      <c r="K83" t="s">
        <v>35</v>
      </c>
      <c r="L83" t="s">
        <v>28</v>
      </c>
      <c r="M83" t="s">
        <v>22</v>
      </c>
      <c r="N83">
        <v>14</v>
      </c>
      <c r="O83" t="str">
        <f t="shared" si="1"/>
        <v>Extended</v>
      </c>
    </row>
    <row r="84" spans="1:15" x14ac:dyDescent="0.3">
      <c r="A84" t="s">
        <v>216</v>
      </c>
      <c r="B84" t="s">
        <v>217</v>
      </c>
      <c r="C84">
        <v>9</v>
      </c>
      <c r="D84" t="s">
        <v>25</v>
      </c>
      <c r="E84" s="1">
        <v>45798</v>
      </c>
      <c r="F84" s="1">
        <v>45807</v>
      </c>
      <c r="G84" t="s">
        <v>43</v>
      </c>
      <c r="H84" t="s">
        <v>18</v>
      </c>
      <c r="I84">
        <v>6040</v>
      </c>
      <c r="J84" t="s">
        <v>19</v>
      </c>
      <c r="K84" t="s">
        <v>133</v>
      </c>
      <c r="L84" t="s">
        <v>21</v>
      </c>
      <c r="M84" t="s">
        <v>22</v>
      </c>
      <c r="N84">
        <v>9</v>
      </c>
      <c r="O84" t="str">
        <f t="shared" si="1"/>
        <v>Extended</v>
      </c>
    </row>
    <row r="85" spans="1:15" x14ac:dyDescent="0.3">
      <c r="A85" t="s">
        <v>218</v>
      </c>
      <c r="B85" t="s">
        <v>219</v>
      </c>
      <c r="C85">
        <v>30</v>
      </c>
      <c r="D85" t="s">
        <v>25</v>
      </c>
      <c r="E85" s="1">
        <v>45525</v>
      </c>
      <c r="F85" s="1">
        <v>45532</v>
      </c>
      <c r="G85" t="s">
        <v>66</v>
      </c>
      <c r="H85" t="s">
        <v>63</v>
      </c>
      <c r="I85">
        <v>5682</v>
      </c>
      <c r="J85" t="s">
        <v>19</v>
      </c>
      <c r="K85" t="s">
        <v>54</v>
      </c>
      <c r="L85" t="s">
        <v>36</v>
      </c>
      <c r="M85" t="s">
        <v>50</v>
      </c>
      <c r="N85">
        <v>7</v>
      </c>
      <c r="O85" t="str">
        <f t="shared" si="1"/>
        <v>Extended</v>
      </c>
    </row>
    <row r="86" spans="1:15" x14ac:dyDescent="0.3">
      <c r="A86" t="s">
        <v>220</v>
      </c>
      <c r="B86" t="s">
        <v>221</v>
      </c>
      <c r="C86">
        <v>67</v>
      </c>
      <c r="D86" t="s">
        <v>16</v>
      </c>
      <c r="E86" s="1">
        <v>45689</v>
      </c>
      <c r="F86" s="1">
        <v>45692</v>
      </c>
      <c r="G86" t="s">
        <v>32</v>
      </c>
      <c r="H86" t="s">
        <v>39</v>
      </c>
      <c r="I86">
        <v>7521</v>
      </c>
      <c r="J86" t="s">
        <v>19</v>
      </c>
      <c r="K86" t="s">
        <v>54</v>
      </c>
      <c r="L86" t="s">
        <v>78</v>
      </c>
      <c r="M86" t="s">
        <v>22</v>
      </c>
      <c r="N86">
        <v>3</v>
      </c>
      <c r="O86" t="str">
        <f t="shared" si="1"/>
        <v>Normal</v>
      </c>
    </row>
    <row r="87" spans="1:15" x14ac:dyDescent="0.3">
      <c r="A87" t="s">
        <v>222</v>
      </c>
      <c r="B87" t="s">
        <v>223</v>
      </c>
      <c r="C87">
        <v>52</v>
      </c>
      <c r="D87" t="s">
        <v>25</v>
      </c>
      <c r="E87" s="1">
        <v>45726</v>
      </c>
      <c r="F87" s="1">
        <v>45731</v>
      </c>
      <c r="G87" t="s">
        <v>43</v>
      </c>
      <c r="H87" t="s">
        <v>73</v>
      </c>
      <c r="I87">
        <v>9722</v>
      </c>
      <c r="J87" t="s">
        <v>34</v>
      </c>
      <c r="K87" t="s">
        <v>54</v>
      </c>
      <c r="L87" t="s">
        <v>36</v>
      </c>
      <c r="M87" t="s">
        <v>50</v>
      </c>
      <c r="N87">
        <v>5</v>
      </c>
      <c r="O87" t="str">
        <f t="shared" si="1"/>
        <v>Extended</v>
      </c>
    </row>
    <row r="88" spans="1:15" x14ac:dyDescent="0.3">
      <c r="A88" t="s">
        <v>224</v>
      </c>
      <c r="B88" t="s">
        <v>225</v>
      </c>
      <c r="C88">
        <v>49</v>
      </c>
      <c r="D88" t="s">
        <v>16</v>
      </c>
      <c r="E88" s="1">
        <v>45635</v>
      </c>
      <c r="F88" s="1">
        <v>45648</v>
      </c>
      <c r="G88" t="s">
        <v>17</v>
      </c>
      <c r="H88" t="s">
        <v>27</v>
      </c>
      <c r="I88">
        <v>7081</v>
      </c>
      <c r="J88" t="s">
        <v>19</v>
      </c>
      <c r="K88" t="s">
        <v>44</v>
      </c>
      <c r="L88" t="s">
        <v>21</v>
      </c>
      <c r="M88" t="s">
        <v>50</v>
      </c>
      <c r="N88">
        <v>13</v>
      </c>
      <c r="O88" t="str">
        <f t="shared" si="1"/>
        <v>Extended</v>
      </c>
    </row>
    <row r="89" spans="1:15" x14ac:dyDescent="0.3">
      <c r="A89" t="s">
        <v>226</v>
      </c>
      <c r="B89" t="s">
        <v>227</v>
      </c>
      <c r="C89">
        <v>89</v>
      </c>
      <c r="D89" t="s">
        <v>25</v>
      </c>
      <c r="E89" s="1">
        <v>45707</v>
      </c>
      <c r="F89" s="1">
        <v>45709</v>
      </c>
      <c r="G89" t="s">
        <v>26</v>
      </c>
      <c r="H89" t="s">
        <v>48</v>
      </c>
      <c r="I89">
        <v>6791</v>
      </c>
      <c r="J89" t="s">
        <v>34</v>
      </c>
      <c r="K89" t="s">
        <v>40</v>
      </c>
      <c r="L89" t="s">
        <v>21</v>
      </c>
      <c r="M89" t="s">
        <v>22</v>
      </c>
      <c r="N89">
        <v>2</v>
      </c>
      <c r="O89" t="str">
        <f t="shared" si="1"/>
        <v>Normal</v>
      </c>
    </row>
    <row r="90" spans="1:15" x14ac:dyDescent="0.3">
      <c r="A90" t="s">
        <v>228</v>
      </c>
      <c r="B90" t="s">
        <v>229</v>
      </c>
      <c r="C90">
        <v>75</v>
      </c>
      <c r="D90" t="s">
        <v>16</v>
      </c>
      <c r="E90" s="1">
        <v>45726</v>
      </c>
      <c r="F90" s="1">
        <v>45739</v>
      </c>
      <c r="G90" t="s">
        <v>94</v>
      </c>
      <c r="H90" t="s">
        <v>63</v>
      </c>
      <c r="I90">
        <v>6443</v>
      </c>
      <c r="J90" t="s">
        <v>19</v>
      </c>
      <c r="K90" t="s">
        <v>40</v>
      </c>
      <c r="L90" t="s">
        <v>28</v>
      </c>
      <c r="M90" t="s">
        <v>22</v>
      </c>
      <c r="N90">
        <v>13</v>
      </c>
      <c r="O90" t="str">
        <f t="shared" si="1"/>
        <v>Extended</v>
      </c>
    </row>
    <row r="91" spans="1:15" x14ac:dyDescent="0.3">
      <c r="A91" t="s">
        <v>230</v>
      </c>
      <c r="B91" t="s">
        <v>231</v>
      </c>
      <c r="C91">
        <v>77</v>
      </c>
      <c r="D91" t="s">
        <v>25</v>
      </c>
      <c r="E91" s="1">
        <v>45756</v>
      </c>
      <c r="F91" s="1">
        <v>45763</v>
      </c>
      <c r="G91" t="s">
        <v>94</v>
      </c>
      <c r="H91" t="s">
        <v>18</v>
      </c>
      <c r="I91">
        <v>8651</v>
      </c>
      <c r="J91" t="s">
        <v>34</v>
      </c>
      <c r="K91" t="s">
        <v>54</v>
      </c>
      <c r="L91" t="s">
        <v>59</v>
      </c>
      <c r="M91" t="s">
        <v>22</v>
      </c>
      <c r="N91">
        <v>7</v>
      </c>
      <c r="O91" t="str">
        <f t="shared" si="1"/>
        <v>Extended</v>
      </c>
    </row>
    <row r="92" spans="1:15" x14ac:dyDescent="0.3">
      <c r="A92" t="s">
        <v>232</v>
      </c>
      <c r="B92" t="s">
        <v>233</v>
      </c>
      <c r="C92">
        <v>69</v>
      </c>
      <c r="D92" t="s">
        <v>16</v>
      </c>
      <c r="E92" s="1">
        <v>45599</v>
      </c>
      <c r="F92" s="1">
        <v>45606</v>
      </c>
      <c r="G92" t="s">
        <v>94</v>
      </c>
      <c r="H92" t="s">
        <v>33</v>
      </c>
      <c r="I92">
        <v>7828</v>
      </c>
      <c r="J92" t="s">
        <v>34</v>
      </c>
      <c r="K92" t="s">
        <v>54</v>
      </c>
      <c r="L92" t="s">
        <v>59</v>
      </c>
      <c r="M92" t="s">
        <v>22</v>
      </c>
      <c r="N92">
        <v>7</v>
      </c>
      <c r="O92" t="str">
        <f t="shared" si="1"/>
        <v>Extended</v>
      </c>
    </row>
    <row r="93" spans="1:15" x14ac:dyDescent="0.3">
      <c r="A93" t="s">
        <v>234</v>
      </c>
      <c r="B93" t="s">
        <v>235</v>
      </c>
      <c r="C93">
        <v>19</v>
      </c>
      <c r="D93" t="s">
        <v>25</v>
      </c>
      <c r="E93" s="1">
        <v>45742</v>
      </c>
      <c r="F93" s="1">
        <v>45750</v>
      </c>
      <c r="G93" t="s">
        <v>43</v>
      </c>
      <c r="H93" t="s">
        <v>73</v>
      </c>
      <c r="I93">
        <v>9772</v>
      </c>
      <c r="J93" t="s">
        <v>34</v>
      </c>
      <c r="K93" t="s">
        <v>40</v>
      </c>
      <c r="L93" t="s">
        <v>78</v>
      </c>
      <c r="M93" t="s">
        <v>50</v>
      </c>
      <c r="N93">
        <v>8</v>
      </c>
      <c r="O93" t="str">
        <f t="shared" si="1"/>
        <v>Extended</v>
      </c>
    </row>
    <row r="94" spans="1:15" x14ac:dyDescent="0.3">
      <c r="A94" t="s">
        <v>236</v>
      </c>
      <c r="B94" t="s">
        <v>237</v>
      </c>
      <c r="C94">
        <v>80</v>
      </c>
      <c r="D94" t="s">
        <v>25</v>
      </c>
      <c r="E94" s="1">
        <v>45520</v>
      </c>
      <c r="F94" s="1">
        <v>45528</v>
      </c>
      <c r="G94" t="s">
        <v>66</v>
      </c>
      <c r="H94" t="s">
        <v>18</v>
      </c>
      <c r="I94">
        <v>1750</v>
      </c>
      <c r="J94" t="s">
        <v>34</v>
      </c>
      <c r="K94" t="s">
        <v>20</v>
      </c>
      <c r="L94" t="s">
        <v>36</v>
      </c>
      <c r="M94" t="s">
        <v>50</v>
      </c>
      <c r="N94">
        <v>8</v>
      </c>
      <c r="O94" t="str">
        <f t="shared" si="1"/>
        <v>Extended</v>
      </c>
    </row>
    <row r="95" spans="1:15" x14ac:dyDescent="0.3">
      <c r="A95" t="s">
        <v>238</v>
      </c>
      <c r="B95" t="s">
        <v>239</v>
      </c>
      <c r="C95">
        <v>57</v>
      </c>
      <c r="D95" t="s">
        <v>16</v>
      </c>
      <c r="E95" s="1">
        <v>45726</v>
      </c>
      <c r="F95" s="1">
        <v>45737</v>
      </c>
      <c r="G95" t="s">
        <v>94</v>
      </c>
      <c r="H95" t="s">
        <v>73</v>
      </c>
      <c r="I95">
        <v>9164</v>
      </c>
      <c r="J95" t="s">
        <v>34</v>
      </c>
      <c r="K95" t="s">
        <v>133</v>
      </c>
      <c r="L95" t="s">
        <v>45</v>
      </c>
      <c r="M95" t="s">
        <v>50</v>
      </c>
      <c r="N95">
        <v>11</v>
      </c>
      <c r="O95" t="str">
        <f t="shared" si="1"/>
        <v>Extended</v>
      </c>
    </row>
    <row r="96" spans="1:15" x14ac:dyDescent="0.3">
      <c r="A96" t="s">
        <v>240</v>
      </c>
      <c r="B96" t="s">
        <v>241</v>
      </c>
      <c r="C96">
        <v>30</v>
      </c>
      <c r="D96" t="s">
        <v>25</v>
      </c>
      <c r="E96" s="1">
        <v>45565</v>
      </c>
      <c r="F96" s="1">
        <v>45578</v>
      </c>
      <c r="G96" t="s">
        <v>43</v>
      </c>
      <c r="H96" t="s">
        <v>53</v>
      </c>
      <c r="I96">
        <v>5831</v>
      </c>
      <c r="J96" t="s">
        <v>34</v>
      </c>
      <c r="K96" t="s">
        <v>40</v>
      </c>
      <c r="L96" t="s">
        <v>36</v>
      </c>
      <c r="M96" t="s">
        <v>29</v>
      </c>
      <c r="N96">
        <v>13</v>
      </c>
      <c r="O96" t="str">
        <f t="shared" si="1"/>
        <v>Extended</v>
      </c>
    </row>
    <row r="97" spans="1:15" x14ac:dyDescent="0.3">
      <c r="A97" t="s">
        <v>242</v>
      </c>
      <c r="B97" t="s">
        <v>243</v>
      </c>
      <c r="C97">
        <v>30</v>
      </c>
      <c r="D97" t="s">
        <v>16</v>
      </c>
      <c r="E97" s="1">
        <v>45711</v>
      </c>
      <c r="F97" s="1">
        <v>45725</v>
      </c>
      <c r="G97" t="s">
        <v>26</v>
      </c>
      <c r="H97" t="s">
        <v>48</v>
      </c>
      <c r="I97">
        <v>1430</v>
      </c>
      <c r="J97" t="s">
        <v>19</v>
      </c>
      <c r="K97" t="s">
        <v>20</v>
      </c>
      <c r="L97" t="s">
        <v>36</v>
      </c>
      <c r="M97" t="s">
        <v>22</v>
      </c>
      <c r="N97">
        <v>14</v>
      </c>
      <c r="O97" t="str">
        <f t="shared" si="1"/>
        <v>Extended</v>
      </c>
    </row>
    <row r="98" spans="1:15" x14ac:dyDescent="0.3">
      <c r="A98" t="s">
        <v>244</v>
      </c>
      <c r="B98" t="s">
        <v>245</v>
      </c>
      <c r="C98">
        <v>24</v>
      </c>
      <c r="D98" t="s">
        <v>16</v>
      </c>
      <c r="E98" s="1">
        <v>45566</v>
      </c>
      <c r="F98" s="1">
        <v>45572</v>
      </c>
      <c r="G98" t="s">
        <v>43</v>
      </c>
      <c r="H98" t="s">
        <v>73</v>
      </c>
      <c r="I98">
        <v>8641</v>
      </c>
      <c r="J98" t="s">
        <v>19</v>
      </c>
      <c r="K98" t="s">
        <v>35</v>
      </c>
      <c r="L98" t="s">
        <v>21</v>
      </c>
      <c r="M98" t="s">
        <v>29</v>
      </c>
      <c r="N98">
        <v>6</v>
      </c>
      <c r="O98" t="str">
        <f t="shared" si="1"/>
        <v>Extended</v>
      </c>
    </row>
    <row r="99" spans="1:15" x14ac:dyDescent="0.3">
      <c r="A99" t="s">
        <v>246</v>
      </c>
      <c r="B99" t="s">
        <v>247</v>
      </c>
      <c r="C99">
        <v>45</v>
      </c>
      <c r="D99" t="s">
        <v>25</v>
      </c>
      <c r="E99" s="1">
        <v>45733</v>
      </c>
      <c r="F99" s="1">
        <v>45743</v>
      </c>
      <c r="G99" t="s">
        <v>43</v>
      </c>
      <c r="H99" t="s">
        <v>89</v>
      </c>
      <c r="I99">
        <v>6565</v>
      </c>
      <c r="J99" t="s">
        <v>34</v>
      </c>
      <c r="K99" t="s">
        <v>44</v>
      </c>
      <c r="L99" t="s">
        <v>55</v>
      </c>
      <c r="M99" t="s">
        <v>50</v>
      </c>
      <c r="N99">
        <v>10</v>
      </c>
      <c r="O99" t="str">
        <f t="shared" si="1"/>
        <v>Extended</v>
      </c>
    </row>
    <row r="100" spans="1:15" x14ac:dyDescent="0.3">
      <c r="A100" t="s">
        <v>248</v>
      </c>
      <c r="B100" t="s">
        <v>249</v>
      </c>
      <c r="C100">
        <v>8</v>
      </c>
      <c r="D100" t="s">
        <v>25</v>
      </c>
      <c r="E100" s="1">
        <v>45585</v>
      </c>
      <c r="F100" s="1">
        <v>45591</v>
      </c>
      <c r="G100" t="s">
        <v>62</v>
      </c>
      <c r="H100" t="s">
        <v>63</v>
      </c>
      <c r="I100">
        <v>7627</v>
      </c>
      <c r="J100" t="s">
        <v>19</v>
      </c>
      <c r="K100" t="s">
        <v>40</v>
      </c>
      <c r="L100" t="s">
        <v>36</v>
      </c>
      <c r="M100" t="s">
        <v>22</v>
      </c>
      <c r="N100">
        <v>6</v>
      </c>
      <c r="O100" t="str">
        <f t="shared" si="1"/>
        <v>Extended</v>
      </c>
    </row>
    <row r="101" spans="1:15" x14ac:dyDescent="0.3">
      <c r="A101" t="s">
        <v>250</v>
      </c>
      <c r="B101" t="s">
        <v>251</v>
      </c>
      <c r="C101">
        <v>9</v>
      </c>
      <c r="D101" t="s">
        <v>16</v>
      </c>
      <c r="E101" s="1">
        <v>45546</v>
      </c>
      <c r="F101" s="1">
        <v>45551</v>
      </c>
      <c r="G101" t="s">
        <v>43</v>
      </c>
      <c r="H101" t="s">
        <v>27</v>
      </c>
      <c r="I101">
        <v>4541</v>
      </c>
      <c r="J101" t="s">
        <v>19</v>
      </c>
      <c r="K101" t="s">
        <v>133</v>
      </c>
      <c r="L101" t="s">
        <v>59</v>
      </c>
      <c r="M101" t="s">
        <v>29</v>
      </c>
      <c r="N101">
        <v>5</v>
      </c>
      <c r="O101" t="str">
        <f t="shared" si="1"/>
        <v>Extended</v>
      </c>
    </row>
    <row r="102" spans="1:15" x14ac:dyDescent="0.3">
      <c r="A102" t="s">
        <v>252</v>
      </c>
      <c r="B102" t="s">
        <v>253</v>
      </c>
      <c r="C102">
        <v>1</v>
      </c>
      <c r="D102" t="s">
        <v>25</v>
      </c>
      <c r="E102" s="1">
        <v>45538</v>
      </c>
      <c r="F102" s="1">
        <v>45544</v>
      </c>
      <c r="G102" t="s">
        <v>17</v>
      </c>
      <c r="H102" t="s">
        <v>58</v>
      </c>
      <c r="I102">
        <v>6335</v>
      </c>
      <c r="J102" t="s">
        <v>19</v>
      </c>
      <c r="K102" t="s">
        <v>49</v>
      </c>
      <c r="L102" t="s">
        <v>45</v>
      </c>
      <c r="M102" t="s">
        <v>50</v>
      </c>
      <c r="N102">
        <v>6</v>
      </c>
      <c r="O102" t="str">
        <f t="shared" si="1"/>
        <v>Extended</v>
      </c>
    </row>
    <row r="103" spans="1:15" x14ac:dyDescent="0.3">
      <c r="A103" t="s">
        <v>254</v>
      </c>
      <c r="B103" t="s">
        <v>255</v>
      </c>
      <c r="C103">
        <v>40</v>
      </c>
      <c r="D103" t="s">
        <v>16</v>
      </c>
      <c r="E103" s="1">
        <v>45668</v>
      </c>
      <c r="F103" s="1">
        <v>45677</v>
      </c>
      <c r="G103" t="s">
        <v>17</v>
      </c>
      <c r="H103" t="s">
        <v>39</v>
      </c>
      <c r="I103">
        <v>6273</v>
      </c>
      <c r="J103" t="s">
        <v>34</v>
      </c>
      <c r="K103" t="s">
        <v>40</v>
      </c>
      <c r="L103" t="s">
        <v>28</v>
      </c>
      <c r="M103" t="s">
        <v>29</v>
      </c>
      <c r="N103">
        <v>9</v>
      </c>
      <c r="O103" t="str">
        <f t="shared" si="1"/>
        <v>Extended</v>
      </c>
    </row>
    <row r="104" spans="1:15" x14ac:dyDescent="0.3">
      <c r="A104" t="s">
        <v>256</v>
      </c>
      <c r="B104" t="s">
        <v>257</v>
      </c>
      <c r="C104">
        <v>67</v>
      </c>
      <c r="D104" t="s">
        <v>16</v>
      </c>
      <c r="E104" s="1">
        <v>45478</v>
      </c>
      <c r="F104" s="1">
        <v>45482</v>
      </c>
      <c r="G104" t="s">
        <v>94</v>
      </c>
      <c r="H104" t="s">
        <v>58</v>
      </c>
      <c r="I104">
        <v>8658</v>
      </c>
      <c r="J104" t="s">
        <v>34</v>
      </c>
      <c r="K104" t="s">
        <v>54</v>
      </c>
      <c r="L104" t="s">
        <v>55</v>
      </c>
      <c r="M104" t="s">
        <v>29</v>
      </c>
      <c r="N104">
        <v>4</v>
      </c>
      <c r="O104" t="str">
        <f t="shared" si="1"/>
        <v>Extended</v>
      </c>
    </row>
    <row r="105" spans="1:15" x14ac:dyDescent="0.3">
      <c r="A105" t="s">
        <v>258</v>
      </c>
      <c r="B105" t="s">
        <v>259</v>
      </c>
      <c r="C105">
        <v>60</v>
      </c>
      <c r="D105" t="s">
        <v>25</v>
      </c>
      <c r="E105" s="1">
        <v>45756</v>
      </c>
      <c r="F105" s="1">
        <v>45761</v>
      </c>
      <c r="G105" t="s">
        <v>32</v>
      </c>
      <c r="H105" t="s">
        <v>63</v>
      </c>
      <c r="I105">
        <v>1451</v>
      </c>
      <c r="J105" t="s">
        <v>34</v>
      </c>
      <c r="K105" t="s">
        <v>54</v>
      </c>
      <c r="L105" t="s">
        <v>21</v>
      </c>
      <c r="M105" t="s">
        <v>22</v>
      </c>
      <c r="N105">
        <v>5</v>
      </c>
      <c r="O105" t="str">
        <f t="shared" si="1"/>
        <v>Extended</v>
      </c>
    </row>
    <row r="106" spans="1:15" x14ac:dyDescent="0.3">
      <c r="A106" t="s">
        <v>260</v>
      </c>
      <c r="B106" t="s">
        <v>261</v>
      </c>
      <c r="C106">
        <v>30</v>
      </c>
      <c r="D106" t="s">
        <v>16</v>
      </c>
      <c r="E106" s="1">
        <v>45703</v>
      </c>
      <c r="F106" s="1">
        <v>45716</v>
      </c>
      <c r="G106" t="s">
        <v>62</v>
      </c>
      <c r="H106" t="s">
        <v>27</v>
      </c>
      <c r="I106">
        <v>8513</v>
      </c>
      <c r="J106" t="s">
        <v>19</v>
      </c>
      <c r="K106" t="s">
        <v>54</v>
      </c>
      <c r="L106" t="s">
        <v>59</v>
      </c>
      <c r="M106" t="s">
        <v>22</v>
      </c>
      <c r="N106">
        <v>13</v>
      </c>
      <c r="O106" t="str">
        <f t="shared" si="1"/>
        <v>Extended</v>
      </c>
    </row>
    <row r="107" spans="1:15" x14ac:dyDescent="0.3">
      <c r="A107" t="s">
        <v>262</v>
      </c>
      <c r="B107" t="s">
        <v>263</v>
      </c>
      <c r="C107">
        <v>45</v>
      </c>
      <c r="D107" t="s">
        <v>25</v>
      </c>
      <c r="E107" s="1">
        <v>45623</v>
      </c>
      <c r="F107" s="1">
        <v>45635</v>
      </c>
      <c r="G107" t="s">
        <v>26</v>
      </c>
      <c r="H107" t="s">
        <v>27</v>
      </c>
      <c r="I107">
        <v>2886</v>
      </c>
      <c r="J107" t="s">
        <v>34</v>
      </c>
      <c r="K107" t="s">
        <v>54</v>
      </c>
      <c r="L107" t="s">
        <v>45</v>
      </c>
      <c r="M107" t="s">
        <v>22</v>
      </c>
      <c r="N107">
        <v>12</v>
      </c>
      <c r="O107" t="str">
        <f t="shared" si="1"/>
        <v>Extended</v>
      </c>
    </row>
    <row r="108" spans="1:15" x14ac:dyDescent="0.3">
      <c r="A108" t="s">
        <v>264</v>
      </c>
      <c r="B108" t="s">
        <v>265</v>
      </c>
      <c r="C108">
        <v>59</v>
      </c>
      <c r="D108" t="s">
        <v>16</v>
      </c>
      <c r="E108" s="1">
        <v>45742</v>
      </c>
      <c r="F108" s="1">
        <v>45752</v>
      </c>
      <c r="G108" t="s">
        <v>17</v>
      </c>
      <c r="H108" t="s">
        <v>33</v>
      </c>
      <c r="I108">
        <v>6517</v>
      </c>
      <c r="J108" t="s">
        <v>19</v>
      </c>
      <c r="K108" t="s">
        <v>54</v>
      </c>
      <c r="L108" t="s">
        <v>59</v>
      </c>
      <c r="M108" t="s">
        <v>22</v>
      </c>
      <c r="N108">
        <v>10</v>
      </c>
      <c r="O108" t="str">
        <f t="shared" si="1"/>
        <v>Extended</v>
      </c>
    </row>
    <row r="109" spans="1:15" x14ac:dyDescent="0.3">
      <c r="A109" t="s">
        <v>266</v>
      </c>
      <c r="B109" t="s">
        <v>267</v>
      </c>
      <c r="C109">
        <v>67</v>
      </c>
      <c r="D109" t="s">
        <v>16</v>
      </c>
      <c r="E109" s="1">
        <v>45600</v>
      </c>
      <c r="F109" s="1">
        <v>45613</v>
      </c>
      <c r="G109" t="s">
        <v>66</v>
      </c>
      <c r="H109" t="s">
        <v>48</v>
      </c>
      <c r="I109">
        <v>4062</v>
      </c>
      <c r="J109" t="s">
        <v>34</v>
      </c>
      <c r="K109" t="s">
        <v>49</v>
      </c>
      <c r="L109" t="s">
        <v>55</v>
      </c>
      <c r="M109" t="s">
        <v>50</v>
      </c>
      <c r="N109">
        <v>13</v>
      </c>
      <c r="O109" t="str">
        <f t="shared" si="1"/>
        <v>Extended</v>
      </c>
    </row>
    <row r="110" spans="1:15" x14ac:dyDescent="0.3">
      <c r="A110" t="s">
        <v>268</v>
      </c>
      <c r="B110" t="s">
        <v>269</v>
      </c>
      <c r="C110">
        <v>42</v>
      </c>
      <c r="D110" t="s">
        <v>16</v>
      </c>
      <c r="E110" s="1">
        <v>45796</v>
      </c>
      <c r="F110" s="1">
        <v>45808</v>
      </c>
      <c r="G110" t="s">
        <v>94</v>
      </c>
      <c r="H110" t="s">
        <v>33</v>
      </c>
      <c r="I110">
        <v>3749</v>
      </c>
      <c r="J110" t="s">
        <v>19</v>
      </c>
      <c r="K110" t="s">
        <v>49</v>
      </c>
      <c r="L110" t="s">
        <v>55</v>
      </c>
      <c r="M110" t="s">
        <v>29</v>
      </c>
      <c r="N110">
        <v>12</v>
      </c>
      <c r="O110" t="str">
        <f t="shared" si="1"/>
        <v>Extended</v>
      </c>
    </row>
    <row r="111" spans="1:15" x14ac:dyDescent="0.3">
      <c r="A111" t="s">
        <v>270</v>
      </c>
      <c r="B111" t="s">
        <v>271</v>
      </c>
      <c r="C111">
        <v>80</v>
      </c>
      <c r="D111" t="s">
        <v>16</v>
      </c>
      <c r="E111" s="1">
        <v>45668</v>
      </c>
      <c r="F111" s="1">
        <v>45672</v>
      </c>
      <c r="G111" t="s">
        <v>32</v>
      </c>
      <c r="H111" t="s">
        <v>89</v>
      </c>
      <c r="I111">
        <v>3869</v>
      </c>
      <c r="J111" t="s">
        <v>34</v>
      </c>
      <c r="K111" t="s">
        <v>40</v>
      </c>
      <c r="L111" t="s">
        <v>21</v>
      </c>
      <c r="M111" t="s">
        <v>29</v>
      </c>
      <c r="N111">
        <v>4</v>
      </c>
      <c r="O111" t="str">
        <f t="shared" si="1"/>
        <v>Extended</v>
      </c>
    </row>
    <row r="112" spans="1:15" x14ac:dyDescent="0.3">
      <c r="A112" t="s">
        <v>272</v>
      </c>
      <c r="B112" t="s">
        <v>273</v>
      </c>
      <c r="C112">
        <v>65</v>
      </c>
      <c r="D112" t="s">
        <v>25</v>
      </c>
      <c r="E112" s="1">
        <v>45508</v>
      </c>
      <c r="F112" s="1">
        <v>45516</v>
      </c>
      <c r="G112" t="s">
        <v>26</v>
      </c>
      <c r="H112" t="s">
        <v>48</v>
      </c>
      <c r="I112">
        <v>5239</v>
      </c>
      <c r="J112" t="s">
        <v>34</v>
      </c>
      <c r="K112" t="s">
        <v>44</v>
      </c>
      <c r="L112" t="s">
        <v>45</v>
      </c>
      <c r="M112" t="s">
        <v>29</v>
      </c>
      <c r="N112">
        <v>8</v>
      </c>
      <c r="O112" t="str">
        <f t="shared" si="1"/>
        <v>Extended</v>
      </c>
    </row>
    <row r="113" spans="1:15" x14ac:dyDescent="0.3">
      <c r="A113" t="s">
        <v>274</v>
      </c>
      <c r="B113" t="s">
        <v>275</v>
      </c>
      <c r="C113">
        <v>18</v>
      </c>
      <c r="D113" t="s">
        <v>25</v>
      </c>
      <c r="E113" s="1">
        <v>45559</v>
      </c>
      <c r="F113" s="1">
        <v>45562</v>
      </c>
      <c r="G113" t="s">
        <v>17</v>
      </c>
      <c r="H113" t="s">
        <v>53</v>
      </c>
      <c r="I113">
        <v>6357</v>
      </c>
      <c r="J113" t="s">
        <v>34</v>
      </c>
      <c r="K113" t="s">
        <v>35</v>
      </c>
      <c r="L113" t="s">
        <v>28</v>
      </c>
      <c r="M113" t="s">
        <v>29</v>
      </c>
      <c r="N113">
        <v>3</v>
      </c>
      <c r="O113" t="str">
        <f t="shared" si="1"/>
        <v>Normal</v>
      </c>
    </row>
    <row r="114" spans="1:15" x14ac:dyDescent="0.3">
      <c r="A114" t="s">
        <v>276</v>
      </c>
      <c r="B114" t="s">
        <v>277</v>
      </c>
      <c r="C114">
        <v>90</v>
      </c>
      <c r="D114" t="s">
        <v>25</v>
      </c>
      <c r="E114" s="1">
        <v>45614</v>
      </c>
      <c r="F114" s="1">
        <v>45615</v>
      </c>
      <c r="G114" t="s">
        <v>66</v>
      </c>
      <c r="H114" t="s">
        <v>73</v>
      </c>
      <c r="I114">
        <v>6095</v>
      </c>
      <c r="J114" t="s">
        <v>34</v>
      </c>
      <c r="K114" t="s">
        <v>40</v>
      </c>
      <c r="L114" t="s">
        <v>45</v>
      </c>
      <c r="M114" t="s">
        <v>29</v>
      </c>
      <c r="N114">
        <v>1</v>
      </c>
      <c r="O114" t="str">
        <f t="shared" si="1"/>
        <v>Normal</v>
      </c>
    </row>
    <row r="115" spans="1:15" x14ac:dyDescent="0.3">
      <c r="A115" t="s">
        <v>278</v>
      </c>
      <c r="B115" t="s">
        <v>279</v>
      </c>
      <c r="C115">
        <v>31</v>
      </c>
      <c r="D115" t="s">
        <v>16</v>
      </c>
      <c r="E115" s="1">
        <v>45714</v>
      </c>
      <c r="F115" s="1">
        <v>45728</v>
      </c>
      <c r="G115" t="s">
        <v>43</v>
      </c>
      <c r="H115" t="s">
        <v>18</v>
      </c>
      <c r="I115">
        <v>3007</v>
      </c>
      <c r="J115" t="s">
        <v>34</v>
      </c>
      <c r="K115" t="s">
        <v>49</v>
      </c>
      <c r="L115" t="s">
        <v>78</v>
      </c>
      <c r="M115" t="s">
        <v>29</v>
      </c>
      <c r="N115">
        <v>14</v>
      </c>
      <c r="O115" t="str">
        <f t="shared" si="1"/>
        <v>Extended</v>
      </c>
    </row>
    <row r="116" spans="1:15" x14ac:dyDescent="0.3">
      <c r="A116" t="s">
        <v>280</v>
      </c>
      <c r="B116" t="s">
        <v>281</v>
      </c>
      <c r="C116">
        <v>14</v>
      </c>
      <c r="D116" t="s">
        <v>16</v>
      </c>
      <c r="E116" s="1">
        <v>45494</v>
      </c>
      <c r="F116" s="1">
        <v>45506</v>
      </c>
      <c r="G116" t="s">
        <v>32</v>
      </c>
      <c r="H116" t="s">
        <v>48</v>
      </c>
      <c r="I116">
        <v>5251</v>
      </c>
      <c r="J116" t="s">
        <v>34</v>
      </c>
      <c r="K116" t="s">
        <v>133</v>
      </c>
      <c r="L116" t="s">
        <v>59</v>
      </c>
      <c r="M116" t="s">
        <v>29</v>
      </c>
      <c r="N116">
        <v>12</v>
      </c>
      <c r="O116" t="str">
        <f t="shared" si="1"/>
        <v>Extended</v>
      </c>
    </row>
    <row r="117" spans="1:15" x14ac:dyDescent="0.3">
      <c r="A117" t="s">
        <v>282</v>
      </c>
      <c r="B117" t="s">
        <v>283</v>
      </c>
      <c r="C117">
        <v>12</v>
      </c>
      <c r="D117" t="s">
        <v>16</v>
      </c>
      <c r="E117" s="1">
        <v>45769</v>
      </c>
      <c r="F117" s="1">
        <v>45779</v>
      </c>
      <c r="G117" t="s">
        <v>32</v>
      </c>
      <c r="H117" t="s">
        <v>33</v>
      </c>
      <c r="I117">
        <v>1291</v>
      </c>
      <c r="J117" t="s">
        <v>34</v>
      </c>
      <c r="K117" t="s">
        <v>49</v>
      </c>
      <c r="L117" t="s">
        <v>55</v>
      </c>
      <c r="M117" t="s">
        <v>22</v>
      </c>
      <c r="N117">
        <v>10</v>
      </c>
      <c r="O117" t="str">
        <f t="shared" si="1"/>
        <v>Extended</v>
      </c>
    </row>
    <row r="118" spans="1:15" x14ac:dyDescent="0.3">
      <c r="A118" t="s">
        <v>284</v>
      </c>
      <c r="B118" t="s">
        <v>285</v>
      </c>
      <c r="C118">
        <v>19</v>
      </c>
      <c r="D118" t="s">
        <v>16</v>
      </c>
      <c r="E118" s="1">
        <v>45594</v>
      </c>
      <c r="F118" s="1">
        <v>45596</v>
      </c>
      <c r="G118" t="s">
        <v>94</v>
      </c>
      <c r="H118" t="s">
        <v>48</v>
      </c>
      <c r="I118">
        <v>5642</v>
      </c>
      <c r="J118" t="s">
        <v>19</v>
      </c>
      <c r="K118" t="s">
        <v>54</v>
      </c>
      <c r="L118" t="s">
        <v>36</v>
      </c>
      <c r="M118" t="s">
        <v>50</v>
      </c>
      <c r="N118">
        <v>2</v>
      </c>
      <c r="O118" t="str">
        <f t="shared" si="1"/>
        <v>Normal</v>
      </c>
    </row>
    <row r="119" spans="1:15" x14ac:dyDescent="0.3">
      <c r="A119" t="s">
        <v>286</v>
      </c>
      <c r="B119" t="s">
        <v>287</v>
      </c>
      <c r="C119">
        <v>49</v>
      </c>
      <c r="D119" t="s">
        <v>16</v>
      </c>
      <c r="E119" s="1">
        <v>45534</v>
      </c>
      <c r="F119" s="1">
        <v>45546</v>
      </c>
      <c r="G119" t="s">
        <v>32</v>
      </c>
      <c r="H119" t="s">
        <v>53</v>
      </c>
      <c r="I119">
        <v>4266</v>
      </c>
      <c r="J119" t="s">
        <v>34</v>
      </c>
      <c r="K119" t="s">
        <v>35</v>
      </c>
      <c r="L119" t="s">
        <v>45</v>
      </c>
      <c r="M119" t="s">
        <v>29</v>
      </c>
      <c r="N119">
        <v>12</v>
      </c>
      <c r="O119" t="str">
        <f t="shared" si="1"/>
        <v>Extended</v>
      </c>
    </row>
    <row r="120" spans="1:15" x14ac:dyDescent="0.3">
      <c r="A120" t="s">
        <v>288</v>
      </c>
      <c r="B120" t="s">
        <v>289</v>
      </c>
      <c r="C120">
        <v>57</v>
      </c>
      <c r="D120" t="s">
        <v>25</v>
      </c>
      <c r="E120" s="1">
        <v>45655</v>
      </c>
      <c r="F120" s="1">
        <v>45658</v>
      </c>
      <c r="G120" t="s">
        <v>94</v>
      </c>
      <c r="H120" t="s">
        <v>73</v>
      </c>
      <c r="I120">
        <v>4726</v>
      </c>
      <c r="J120" t="s">
        <v>19</v>
      </c>
      <c r="K120" t="s">
        <v>40</v>
      </c>
      <c r="L120" t="s">
        <v>28</v>
      </c>
      <c r="M120" t="s">
        <v>29</v>
      </c>
      <c r="N120">
        <v>3</v>
      </c>
      <c r="O120" t="str">
        <f t="shared" si="1"/>
        <v>Normal</v>
      </c>
    </row>
    <row r="121" spans="1:15" x14ac:dyDescent="0.3">
      <c r="A121" t="s">
        <v>290</v>
      </c>
      <c r="B121" t="s">
        <v>291</v>
      </c>
      <c r="C121">
        <v>65</v>
      </c>
      <c r="D121" t="s">
        <v>16</v>
      </c>
      <c r="E121" s="1">
        <v>45504</v>
      </c>
      <c r="F121" s="1">
        <v>45513</v>
      </c>
      <c r="G121" t="s">
        <v>66</v>
      </c>
      <c r="H121" t="s">
        <v>18</v>
      </c>
      <c r="I121">
        <v>8803</v>
      </c>
      <c r="J121" t="s">
        <v>34</v>
      </c>
      <c r="K121" t="s">
        <v>40</v>
      </c>
      <c r="L121" t="s">
        <v>55</v>
      </c>
      <c r="M121" t="s">
        <v>29</v>
      </c>
      <c r="N121">
        <v>9</v>
      </c>
      <c r="O121" t="str">
        <f t="shared" si="1"/>
        <v>Extended</v>
      </c>
    </row>
    <row r="122" spans="1:15" x14ac:dyDescent="0.3">
      <c r="A122" t="s">
        <v>292</v>
      </c>
      <c r="B122" t="s">
        <v>293</v>
      </c>
      <c r="C122">
        <v>60</v>
      </c>
      <c r="D122" t="s">
        <v>25</v>
      </c>
      <c r="E122" s="1">
        <v>45750</v>
      </c>
      <c r="F122" s="1">
        <v>45754</v>
      </c>
      <c r="G122" t="s">
        <v>94</v>
      </c>
      <c r="H122" t="s">
        <v>73</v>
      </c>
      <c r="I122">
        <v>5186</v>
      </c>
      <c r="J122" t="s">
        <v>34</v>
      </c>
      <c r="K122" t="s">
        <v>35</v>
      </c>
      <c r="L122" t="s">
        <v>78</v>
      </c>
      <c r="M122" t="s">
        <v>29</v>
      </c>
      <c r="N122">
        <v>4</v>
      </c>
      <c r="O122" t="str">
        <f t="shared" si="1"/>
        <v>Extended</v>
      </c>
    </row>
    <row r="123" spans="1:15" x14ac:dyDescent="0.3">
      <c r="A123" t="s">
        <v>294</v>
      </c>
      <c r="B123" t="s">
        <v>295</v>
      </c>
      <c r="C123">
        <v>7</v>
      </c>
      <c r="D123" t="s">
        <v>25</v>
      </c>
      <c r="E123" s="1">
        <v>45560</v>
      </c>
      <c r="F123" s="1">
        <v>45564</v>
      </c>
      <c r="G123" t="s">
        <v>66</v>
      </c>
      <c r="H123" t="s">
        <v>63</v>
      </c>
      <c r="I123">
        <v>8567</v>
      </c>
      <c r="J123" t="s">
        <v>34</v>
      </c>
      <c r="K123" t="s">
        <v>40</v>
      </c>
      <c r="L123" t="s">
        <v>78</v>
      </c>
      <c r="M123" t="s">
        <v>22</v>
      </c>
      <c r="N123">
        <v>4</v>
      </c>
      <c r="O123" t="str">
        <f t="shared" si="1"/>
        <v>Extended</v>
      </c>
    </row>
    <row r="124" spans="1:15" x14ac:dyDescent="0.3">
      <c r="A124" t="s">
        <v>296</v>
      </c>
      <c r="B124" t="s">
        <v>297</v>
      </c>
      <c r="C124">
        <v>62</v>
      </c>
      <c r="D124" t="s">
        <v>16</v>
      </c>
      <c r="E124" s="1">
        <v>45720</v>
      </c>
      <c r="F124" s="1">
        <v>45730</v>
      </c>
      <c r="G124" t="s">
        <v>66</v>
      </c>
      <c r="H124" t="s">
        <v>33</v>
      </c>
      <c r="I124">
        <v>7623</v>
      </c>
      <c r="J124" t="s">
        <v>19</v>
      </c>
      <c r="K124" t="s">
        <v>54</v>
      </c>
      <c r="L124" t="s">
        <v>21</v>
      </c>
      <c r="M124" t="s">
        <v>22</v>
      </c>
      <c r="N124">
        <v>10</v>
      </c>
      <c r="O124" t="str">
        <f t="shared" si="1"/>
        <v>Extended</v>
      </c>
    </row>
    <row r="125" spans="1:15" x14ac:dyDescent="0.3">
      <c r="A125" t="s">
        <v>298</v>
      </c>
      <c r="B125" t="s">
        <v>299</v>
      </c>
      <c r="C125">
        <v>43</v>
      </c>
      <c r="D125" t="s">
        <v>25</v>
      </c>
      <c r="E125" s="1">
        <v>45450</v>
      </c>
      <c r="F125" s="1">
        <v>45451</v>
      </c>
      <c r="G125" t="s">
        <v>43</v>
      </c>
      <c r="H125" t="s">
        <v>27</v>
      </c>
      <c r="I125">
        <v>6910</v>
      </c>
      <c r="J125" t="s">
        <v>34</v>
      </c>
      <c r="K125" t="s">
        <v>133</v>
      </c>
      <c r="L125" t="s">
        <v>36</v>
      </c>
      <c r="M125" t="s">
        <v>50</v>
      </c>
      <c r="N125">
        <v>1</v>
      </c>
      <c r="O125" t="str">
        <f t="shared" si="1"/>
        <v>Normal</v>
      </c>
    </row>
    <row r="126" spans="1:15" x14ac:dyDescent="0.3">
      <c r="A126" t="s">
        <v>300</v>
      </c>
      <c r="B126" t="s">
        <v>301</v>
      </c>
      <c r="C126">
        <v>58</v>
      </c>
      <c r="D126" t="s">
        <v>16</v>
      </c>
      <c r="E126" s="1">
        <v>45579</v>
      </c>
      <c r="F126" s="1">
        <v>45589</v>
      </c>
      <c r="G126" t="s">
        <v>62</v>
      </c>
      <c r="H126" t="s">
        <v>39</v>
      </c>
      <c r="I126">
        <v>5195</v>
      </c>
      <c r="J126" t="s">
        <v>19</v>
      </c>
      <c r="K126" t="s">
        <v>20</v>
      </c>
      <c r="L126" t="s">
        <v>78</v>
      </c>
      <c r="M126" t="s">
        <v>50</v>
      </c>
      <c r="N126">
        <v>10</v>
      </c>
      <c r="O126" t="str">
        <f t="shared" si="1"/>
        <v>Extended</v>
      </c>
    </row>
    <row r="127" spans="1:15" x14ac:dyDescent="0.3">
      <c r="A127" t="s">
        <v>302</v>
      </c>
      <c r="B127" t="s">
        <v>303</v>
      </c>
      <c r="C127">
        <v>33</v>
      </c>
      <c r="D127" t="s">
        <v>16</v>
      </c>
      <c r="E127" s="1">
        <v>45553</v>
      </c>
      <c r="F127" s="1">
        <v>45561</v>
      </c>
      <c r="G127" t="s">
        <v>94</v>
      </c>
      <c r="H127" t="s">
        <v>33</v>
      </c>
      <c r="I127">
        <v>4458</v>
      </c>
      <c r="J127" t="s">
        <v>19</v>
      </c>
      <c r="K127" t="s">
        <v>35</v>
      </c>
      <c r="L127" t="s">
        <v>21</v>
      </c>
      <c r="M127" t="s">
        <v>22</v>
      </c>
      <c r="N127">
        <v>8</v>
      </c>
      <c r="O127" t="str">
        <f t="shared" si="1"/>
        <v>Extended</v>
      </c>
    </row>
    <row r="128" spans="1:15" x14ac:dyDescent="0.3">
      <c r="A128" t="s">
        <v>304</v>
      </c>
      <c r="B128" t="s">
        <v>305</v>
      </c>
      <c r="C128">
        <v>50</v>
      </c>
      <c r="D128" t="s">
        <v>25</v>
      </c>
      <c r="E128" s="1">
        <v>45552</v>
      </c>
      <c r="F128" s="1">
        <v>45554</v>
      </c>
      <c r="G128" t="s">
        <v>94</v>
      </c>
      <c r="H128" t="s">
        <v>89</v>
      </c>
      <c r="I128">
        <v>3950</v>
      </c>
      <c r="J128" t="s">
        <v>34</v>
      </c>
      <c r="K128" t="s">
        <v>54</v>
      </c>
      <c r="L128" t="s">
        <v>78</v>
      </c>
      <c r="M128" t="s">
        <v>29</v>
      </c>
      <c r="N128">
        <v>2</v>
      </c>
      <c r="O128" t="str">
        <f t="shared" si="1"/>
        <v>Normal</v>
      </c>
    </row>
    <row r="129" spans="1:15" x14ac:dyDescent="0.3">
      <c r="A129" t="s">
        <v>306</v>
      </c>
      <c r="B129" t="s">
        <v>307</v>
      </c>
      <c r="C129">
        <v>12</v>
      </c>
      <c r="D129" t="s">
        <v>25</v>
      </c>
      <c r="E129" s="1">
        <v>45551</v>
      </c>
      <c r="F129" s="1">
        <v>45555</v>
      </c>
      <c r="G129" t="s">
        <v>17</v>
      </c>
      <c r="H129" t="s">
        <v>73</v>
      </c>
      <c r="I129">
        <v>6676</v>
      </c>
      <c r="J129" t="s">
        <v>19</v>
      </c>
      <c r="K129" t="s">
        <v>49</v>
      </c>
      <c r="L129" t="s">
        <v>28</v>
      </c>
      <c r="M129" t="s">
        <v>22</v>
      </c>
      <c r="N129">
        <v>4</v>
      </c>
      <c r="O129" t="str">
        <f t="shared" si="1"/>
        <v>Extended</v>
      </c>
    </row>
    <row r="130" spans="1:15" x14ac:dyDescent="0.3">
      <c r="A130" t="s">
        <v>308</v>
      </c>
      <c r="B130" t="s">
        <v>309</v>
      </c>
      <c r="C130">
        <v>52</v>
      </c>
      <c r="D130" t="s">
        <v>25</v>
      </c>
      <c r="E130" s="1">
        <v>45468</v>
      </c>
      <c r="F130" s="1">
        <v>45474</v>
      </c>
      <c r="G130" t="s">
        <v>66</v>
      </c>
      <c r="H130" t="s">
        <v>89</v>
      </c>
      <c r="I130">
        <v>8372</v>
      </c>
      <c r="J130" t="s">
        <v>34</v>
      </c>
      <c r="K130" t="s">
        <v>40</v>
      </c>
      <c r="L130" t="s">
        <v>28</v>
      </c>
      <c r="M130" t="s">
        <v>50</v>
      </c>
      <c r="N130">
        <v>6</v>
      </c>
      <c r="O130" t="str">
        <f t="shared" si="1"/>
        <v>Extended</v>
      </c>
    </row>
    <row r="131" spans="1:15" x14ac:dyDescent="0.3">
      <c r="A131" t="s">
        <v>310</v>
      </c>
      <c r="B131" t="s">
        <v>311</v>
      </c>
      <c r="C131">
        <v>6</v>
      </c>
      <c r="D131" t="s">
        <v>16</v>
      </c>
      <c r="E131" s="1">
        <v>45744</v>
      </c>
      <c r="F131" s="1">
        <v>45755</v>
      </c>
      <c r="G131" t="s">
        <v>43</v>
      </c>
      <c r="H131" t="s">
        <v>53</v>
      </c>
      <c r="I131">
        <v>5944</v>
      </c>
      <c r="J131" t="s">
        <v>19</v>
      </c>
      <c r="K131" t="s">
        <v>44</v>
      </c>
      <c r="L131" t="s">
        <v>55</v>
      </c>
      <c r="M131" t="s">
        <v>22</v>
      </c>
      <c r="N131">
        <v>11</v>
      </c>
      <c r="O131" t="str">
        <f t="shared" ref="O131:O194" si="2">IF(N131&gt;3,"Extended","Normal")</f>
        <v>Extended</v>
      </c>
    </row>
    <row r="132" spans="1:15" x14ac:dyDescent="0.3">
      <c r="A132" t="s">
        <v>312</v>
      </c>
      <c r="B132" t="s">
        <v>313</v>
      </c>
      <c r="C132">
        <v>56</v>
      </c>
      <c r="D132" t="s">
        <v>16</v>
      </c>
      <c r="E132" s="1">
        <v>45651</v>
      </c>
      <c r="F132" s="1">
        <v>45652</v>
      </c>
      <c r="G132" t="s">
        <v>32</v>
      </c>
      <c r="H132" t="s">
        <v>73</v>
      </c>
      <c r="I132">
        <v>5126</v>
      </c>
      <c r="J132" t="s">
        <v>34</v>
      </c>
      <c r="K132" t="s">
        <v>49</v>
      </c>
      <c r="L132" t="s">
        <v>78</v>
      </c>
      <c r="M132" t="s">
        <v>22</v>
      </c>
      <c r="N132">
        <v>1</v>
      </c>
      <c r="O132" t="str">
        <f t="shared" si="2"/>
        <v>Normal</v>
      </c>
    </row>
    <row r="133" spans="1:15" x14ac:dyDescent="0.3">
      <c r="A133" t="s">
        <v>314</v>
      </c>
      <c r="B133" t="s">
        <v>315</v>
      </c>
      <c r="C133">
        <v>84</v>
      </c>
      <c r="D133" t="s">
        <v>25</v>
      </c>
      <c r="E133" s="1">
        <v>45670</v>
      </c>
      <c r="F133" s="1">
        <v>45682</v>
      </c>
      <c r="G133" t="s">
        <v>17</v>
      </c>
      <c r="H133" t="s">
        <v>89</v>
      </c>
      <c r="I133">
        <v>5225</v>
      </c>
      <c r="J133" t="s">
        <v>19</v>
      </c>
      <c r="K133" t="s">
        <v>54</v>
      </c>
      <c r="L133" t="s">
        <v>36</v>
      </c>
      <c r="M133" t="s">
        <v>29</v>
      </c>
      <c r="N133">
        <v>12</v>
      </c>
      <c r="O133" t="str">
        <f t="shared" si="2"/>
        <v>Extended</v>
      </c>
    </row>
    <row r="134" spans="1:15" x14ac:dyDescent="0.3">
      <c r="A134" t="s">
        <v>316</v>
      </c>
      <c r="B134" t="s">
        <v>317</v>
      </c>
      <c r="C134">
        <v>18</v>
      </c>
      <c r="D134" t="s">
        <v>16</v>
      </c>
      <c r="E134" s="1">
        <v>45447</v>
      </c>
      <c r="F134" s="1">
        <v>45455</v>
      </c>
      <c r="G134" t="s">
        <v>26</v>
      </c>
      <c r="H134" t="s">
        <v>58</v>
      </c>
      <c r="I134">
        <v>1897</v>
      </c>
      <c r="J134" t="s">
        <v>34</v>
      </c>
      <c r="K134" t="s">
        <v>49</v>
      </c>
      <c r="L134" t="s">
        <v>21</v>
      </c>
      <c r="M134" t="s">
        <v>29</v>
      </c>
      <c r="N134">
        <v>8</v>
      </c>
      <c r="O134" t="str">
        <f t="shared" si="2"/>
        <v>Extended</v>
      </c>
    </row>
    <row r="135" spans="1:15" x14ac:dyDescent="0.3">
      <c r="A135" t="s">
        <v>318</v>
      </c>
      <c r="B135" t="s">
        <v>319</v>
      </c>
      <c r="C135">
        <v>86</v>
      </c>
      <c r="D135" t="s">
        <v>25</v>
      </c>
      <c r="E135" s="1">
        <v>45564</v>
      </c>
      <c r="F135" s="1">
        <v>45565</v>
      </c>
      <c r="G135" t="s">
        <v>43</v>
      </c>
      <c r="H135" t="s">
        <v>53</v>
      </c>
      <c r="I135">
        <v>7739</v>
      </c>
      <c r="J135" t="s">
        <v>19</v>
      </c>
      <c r="K135" t="s">
        <v>20</v>
      </c>
      <c r="L135" t="s">
        <v>45</v>
      </c>
      <c r="M135" t="s">
        <v>22</v>
      </c>
      <c r="N135">
        <v>1</v>
      </c>
      <c r="O135" t="str">
        <f t="shared" si="2"/>
        <v>Normal</v>
      </c>
    </row>
    <row r="136" spans="1:15" x14ac:dyDescent="0.3">
      <c r="A136" t="s">
        <v>320</v>
      </c>
      <c r="B136" t="s">
        <v>321</v>
      </c>
      <c r="C136">
        <v>29</v>
      </c>
      <c r="D136" t="s">
        <v>25</v>
      </c>
      <c r="E136" s="1">
        <v>45631</v>
      </c>
      <c r="F136" s="1">
        <v>45632</v>
      </c>
      <c r="G136" t="s">
        <v>26</v>
      </c>
      <c r="H136" t="s">
        <v>18</v>
      </c>
      <c r="I136">
        <v>6481</v>
      </c>
      <c r="J136" t="s">
        <v>19</v>
      </c>
      <c r="K136" t="s">
        <v>40</v>
      </c>
      <c r="L136" t="s">
        <v>59</v>
      </c>
      <c r="M136" t="s">
        <v>29</v>
      </c>
      <c r="N136">
        <v>1</v>
      </c>
      <c r="O136" t="str">
        <f t="shared" si="2"/>
        <v>Normal</v>
      </c>
    </row>
    <row r="137" spans="1:15" x14ac:dyDescent="0.3">
      <c r="A137" t="s">
        <v>322</v>
      </c>
      <c r="B137" t="s">
        <v>323</v>
      </c>
      <c r="C137">
        <v>7</v>
      </c>
      <c r="D137" t="s">
        <v>16</v>
      </c>
      <c r="E137" s="1">
        <v>45787</v>
      </c>
      <c r="F137" s="1">
        <v>45799</v>
      </c>
      <c r="G137" t="s">
        <v>43</v>
      </c>
      <c r="H137" t="s">
        <v>89</v>
      </c>
      <c r="I137">
        <v>8839</v>
      </c>
      <c r="J137" t="s">
        <v>19</v>
      </c>
      <c r="K137" t="s">
        <v>54</v>
      </c>
      <c r="L137" t="s">
        <v>45</v>
      </c>
      <c r="M137" t="s">
        <v>50</v>
      </c>
      <c r="N137">
        <v>12</v>
      </c>
      <c r="O137" t="str">
        <f t="shared" si="2"/>
        <v>Extended</v>
      </c>
    </row>
    <row r="138" spans="1:15" x14ac:dyDescent="0.3">
      <c r="A138" t="s">
        <v>324</v>
      </c>
      <c r="B138" t="s">
        <v>325</v>
      </c>
      <c r="C138">
        <v>4</v>
      </c>
      <c r="D138" t="s">
        <v>25</v>
      </c>
      <c r="E138" s="1">
        <v>45631</v>
      </c>
      <c r="F138" s="1">
        <v>45644</v>
      </c>
      <c r="G138" t="s">
        <v>62</v>
      </c>
      <c r="H138" t="s">
        <v>18</v>
      </c>
      <c r="I138">
        <v>7037</v>
      </c>
      <c r="J138" t="s">
        <v>34</v>
      </c>
      <c r="K138" t="s">
        <v>20</v>
      </c>
      <c r="L138" t="s">
        <v>36</v>
      </c>
      <c r="M138" t="s">
        <v>22</v>
      </c>
      <c r="N138">
        <v>13</v>
      </c>
      <c r="O138" t="str">
        <f t="shared" si="2"/>
        <v>Extended</v>
      </c>
    </row>
    <row r="139" spans="1:15" x14ac:dyDescent="0.3">
      <c r="A139" t="s">
        <v>326</v>
      </c>
      <c r="B139" t="s">
        <v>327</v>
      </c>
      <c r="C139">
        <v>6</v>
      </c>
      <c r="D139" t="s">
        <v>25</v>
      </c>
      <c r="E139" s="1">
        <v>45750</v>
      </c>
      <c r="F139" s="1">
        <v>45758</v>
      </c>
      <c r="G139" t="s">
        <v>94</v>
      </c>
      <c r="H139" t="s">
        <v>63</v>
      </c>
      <c r="I139">
        <v>2311</v>
      </c>
      <c r="J139" t="s">
        <v>19</v>
      </c>
      <c r="K139" t="s">
        <v>133</v>
      </c>
      <c r="L139" t="s">
        <v>36</v>
      </c>
      <c r="M139" t="s">
        <v>22</v>
      </c>
      <c r="N139">
        <v>8</v>
      </c>
      <c r="O139" t="str">
        <f t="shared" si="2"/>
        <v>Extended</v>
      </c>
    </row>
    <row r="140" spans="1:15" x14ac:dyDescent="0.3">
      <c r="A140" t="s">
        <v>328</v>
      </c>
      <c r="B140" t="s">
        <v>329</v>
      </c>
      <c r="C140">
        <v>80</v>
      </c>
      <c r="D140" t="s">
        <v>16</v>
      </c>
      <c r="E140" s="1">
        <v>45664</v>
      </c>
      <c r="F140" s="1">
        <v>45673</v>
      </c>
      <c r="G140" t="s">
        <v>17</v>
      </c>
      <c r="H140" t="s">
        <v>33</v>
      </c>
      <c r="I140">
        <v>3478</v>
      </c>
      <c r="J140" t="s">
        <v>19</v>
      </c>
      <c r="K140" t="s">
        <v>44</v>
      </c>
      <c r="L140" t="s">
        <v>28</v>
      </c>
      <c r="M140" t="s">
        <v>29</v>
      </c>
      <c r="N140">
        <v>9</v>
      </c>
      <c r="O140" t="str">
        <f t="shared" si="2"/>
        <v>Extended</v>
      </c>
    </row>
    <row r="141" spans="1:15" x14ac:dyDescent="0.3">
      <c r="A141" t="s">
        <v>330</v>
      </c>
      <c r="B141" t="s">
        <v>331</v>
      </c>
      <c r="C141">
        <v>20</v>
      </c>
      <c r="D141" t="s">
        <v>16</v>
      </c>
      <c r="E141" s="1">
        <v>45733</v>
      </c>
      <c r="F141" s="1">
        <v>45745</v>
      </c>
      <c r="G141" t="s">
        <v>43</v>
      </c>
      <c r="H141" t="s">
        <v>89</v>
      </c>
      <c r="I141">
        <v>7391</v>
      </c>
      <c r="J141" t="s">
        <v>34</v>
      </c>
      <c r="K141" t="s">
        <v>35</v>
      </c>
      <c r="L141" t="s">
        <v>55</v>
      </c>
      <c r="M141" t="s">
        <v>50</v>
      </c>
      <c r="N141">
        <v>12</v>
      </c>
      <c r="O141" t="str">
        <f t="shared" si="2"/>
        <v>Extended</v>
      </c>
    </row>
    <row r="142" spans="1:15" x14ac:dyDescent="0.3">
      <c r="A142" t="s">
        <v>332</v>
      </c>
      <c r="B142" t="s">
        <v>333</v>
      </c>
      <c r="C142">
        <v>55</v>
      </c>
      <c r="D142" t="s">
        <v>25</v>
      </c>
      <c r="E142" s="1">
        <v>45684</v>
      </c>
      <c r="F142" s="1">
        <v>45687</v>
      </c>
      <c r="G142" t="s">
        <v>94</v>
      </c>
      <c r="H142" t="s">
        <v>63</v>
      </c>
      <c r="I142">
        <v>5955</v>
      </c>
      <c r="J142" t="s">
        <v>19</v>
      </c>
      <c r="K142" t="s">
        <v>35</v>
      </c>
      <c r="L142" t="s">
        <v>59</v>
      </c>
      <c r="M142" t="s">
        <v>50</v>
      </c>
      <c r="N142">
        <v>3</v>
      </c>
      <c r="O142" t="str">
        <f t="shared" si="2"/>
        <v>Normal</v>
      </c>
    </row>
    <row r="143" spans="1:15" x14ac:dyDescent="0.3">
      <c r="A143" t="s">
        <v>334</v>
      </c>
      <c r="B143" t="s">
        <v>335</v>
      </c>
      <c r="C143">
        <v>76</v>
      </c>
      <c r="D143" t="s">
        <v>16</v>
      </c>
      <c r="E143" s="1">
        <v>45783</v>
      </c>
      <c r="F143" s="1">
        <v>45785</v>
      </c>
      <c r="G143" t="s">
        <v>26</v>
      </c>
      <c r="H143" t="s">
        <v>63</v>
      </c>
      <c r="I143">
        <v>1340</v>
      </c>
      <c r="J143" t="s">
        <v>34</v>
      </c>
      <c r="K143" t="s">
        <v>133</v>
      </c>
      <c r="L143" t="s">
        <v>59</v>
      </c>
      <c r="M143" t="s">
        <v>22</v>
      </c>
      <c r="N143">
        <v>2</v>
      </c>
      <c r="O143" t="str">
        <f t="shared" si="2"/>
        <v>Normal</v>
      </c>
    </row>
    <row r="144" spans="1:15" x14ac:dyDescent="0.3">
      <c r="A144" t="s">
        <v>336</v>
      </c>
      <c r="B144" t="s">
        <v>337</v>
      </c>
      <c r="C144">
        <v>21</v>
      </c>
      <c r="D144" t="s">
        <v>25</v>
      </c>
      <c r="E144" s="1">
        <v>45562</v>
      </c>
      <c r="F144" s="1">
        <v>45572</v>
      </c>
      <c r="G144" t="s">
        <v>32</v>
      </c>
      <c r="H144" t="s">
        <v>48</v>
      </c>
      <c r="I144">
        <v>1604</v>
      </c>
      <c r="J144" t="s">
        <v>34</v>
      </c>
      <c r="K144" t="s">
        <v>49</v>
      </c>
      <c r="L144" t="s">
        <v>28</v>
      </c>
      <c r="M144" t="s">
        <v>50</v>
      </c>
      <c r="N144">
        <v>10</v>
      </c>
      <c r="O144" t="str">
        <f t="shared" si="2"/>
        <v>Extended</v>
      </c>
    </row>
    <row r="145" spans="1:15" x14ac:dyDescent="0.3">
      <c r="A145" t="s">
        <v>338</v>
      </c>
      <c r="B145" t="s">
        <v>339</v>
      </c>
      <c r="C145">
        <v>58</v>
      </c>
      <c r="D145" t="s">
        <v>16</v>
      </c>
      <c r="E145" s="1">
        <v>45578</v>
      </c>
      <c r="F145" s="1">
        <v>45584</v>
      </c>
      <c r="G145" t="s">
        <v>94</v>
      </c>
      <c r="H145" t="s">
        <v>89</v>
      </c>
      <c r="I145">
        <v>5199</v>
      </c>
      <c r="J145" t="s">
        <v>34</v>
      </c>
      <c r="K145" t="s">
        <v>35</v>
      </c>
      <c r="L145" t="s">
        <v>21</v>
      </c>
      <c r="M145" t="s">
        <v>50</v>
      </c>
      <c r="N145">
        <v>6</v>
      </c>
      <c r="O145" t="str">
        <f t="shared" si="2"/>
        <v>Extended</v>
      </c>
    </row>
    <row r="146" spans="1:15" x14ac:dyDescent="0.3">
      <c r="A146" t="s">
        <v>340</v>
      </c>
      <c r="B146" t="s">
        <v>341</v>
      </c>
      <c r="C146">
        <v>82</v>
      </c>
      <c r="D146" t="s">
        <v>16</v>
      </c>
      <c r="E146" s="1">
        <v>45486</v>
      </c>
      <c r="F146" s="1">
        <v>45487</v>
      </c>
      <c r="G146" t="s">
        <v>32</v>
      </c>
      <c r="H146" t="s">
        <v>33</v>
      </c>
      <c r="I146">
        <v>3626</v>
      </c>
      <c r="J146" t="s">
        <v>19</v>
      </c>
      <c r="K146" t="s">
        <v>20</v>
      </c>
      <c r="L146" t="s">
        <v>78</v>
      </c>
      <c r="M146" t="s">
        <v>22</v>
      </c>
      <c r="N146">
        <v>1</v>
      </c>
      <c r="O146" t="str">
        <f t="shared" si="2"/>
        <v>Normal</v>
      </c>
    </row>
    <row r="147" spans="1:15" x14ac:dyDescent="0.3">
      <c r="A147" t="s">
        <v>342</v>
      </c>
      <c r="B147" t="s">
        <v>343</v>
      </c>
      <c r="C147">
        <v>33</v>
      </c>
      <c r="D147" t="s">
        <v>16</v>
      </c>
      <c r="E147" s="1">
        <v>45708</v>
      </c>
      <c r="F147" s="1">
        <v>45716</v>
      </c>
      <c r="G147" t="s">
        <v>32</v>
      </c>
      <c r="H147" t="s">
        <v>89</v>
      </c>
      <c r="I147">
        <v>1217</v>
      </c>
      <c r="J147" t="s">
        <v>34</v>
      </c>
      <c r="K147" t="s">
        <v>44</v>
      </c>
      <c r="L147" t="s">
        <v>59</v>
      </c>
      <c r="M147" t="s">
        <v>29</v>
      </c>
      <c r="N147">
        <v>8</v>
      </c>
      <c r="O147" t="str">
        <f t="shared" si="2"/>
        <v>Extended</v>
      </c>
    </row>
    <row r="148" spans="1:15" x14ac:dyDescent="0.3">
      <c r="A148" t="s">
        <v>344</v>
      </c>
      <c r="B148" t="s">
        <v>345</v>
      </c>
      <c r="C148">
        <v>14</v>
      </c>
      <c r="D148" t="s">
        <v>16</v>
      </c>
      <c r="E148" s="1">
        <v>45540</v>
      </c>
      <c r="F148" s="1">
        <v>45542</v>
      </c>
      <c r="G148" t="s">
        <v>43</v>
      </c>
      <c r="H148" t="s">
        <v>63</v>
      </c>
      <c r="I148">
        <v>7184</v>
      </c>
      <c r="J148" t="s">
        <v>19</v>
      </c>
      <c r="K148" t="s">
        <v>133</v>
      </c>
      <c r="L148" t="s">
        <v>36</v>
      </c>
      <c r="M148" t="s">
        <v>50</v>
      </c>
      <c r="N148">
        <v>2</v>
      </c>
      <c r="O148" t="str">
        <f t="shared" si="2"/>
        <v>Normal</v>
      </c>
    </row>
    <row r="149" spans="1:15" x14ac:dyDescent="0.3">
      <c r="A149" t="s">
        <v>346</v>
      </c>
      <c r="B149" t="s">
        <v>347</v>
      </c>
      <c r="C149">
        <v>25</v>
      </c>
      <c r="D149" t="s">
        <v>16</v>
      </c>
      <c r="E149" s="1">
        <v>45507</v>
      </c>
      <c r="F149" s="1">
        <v>45508</v>
      </c>
      <c r="G149" t="s">
        <v>62</v>
      </c>
      <c r="H149" t="s">
        <v>53</v>
      </c>
      <c r="I149">
        <v>5670</v>
      </c>
      <c r="J149" t="s">
        <v>34</v>
      </c>
      <c r="K149" t="s">
        <v>54</v>
      </c>
      <c r="L149" t="s">
        <v>59</v>
      </c>
      <c r="M149" t="s">
        <v>50</v>
      </c>
      <c r="N149">
        <v>1</v>
      </c>
      <c r="O149" t="str">
        <f t="shared" si="2"/>
        <v>Normal</v>
      </c>
    </row>
    <row r="150" spans="1:15" x14ac:dyDescent="0.3">
      <c r="A150" t="s">
        <v>348</v>
      </c>
      <c r="B150" t="s">
        <v>349</v>
      </c>
      <c r="C150">
        <v>52</v>
      </c>
      <c r="D150" t="s">
        <v>16</v>
      </c>
      <c r="E150" s="1">
        <v>45804</v>
      </c>
      <c r="F150" s="1">
        <v>45816</v>
      </c>
      <c r="G150" t="s">
        <v>94</v>
      </c>
      <c r="H150" t="s">
        <v>33</v>
      </c>
      <c r="I150">
        <v>8813</v>
      </c>
      <c r="J150" t="s">
        <v>34</v>
      </c>
      <c r="K150" t="s">
        <v>40</v>
      </c>
      <c r="L150" t="s">
        <v>45</v>
      </c>
      <c r="M150" t="s">
        <v>29</v>
      </c>
      <c r="N150">
        <v>12</v>
      </c>
      <c r="O150" t="str">
        <f t="shared" si="2"/>
        <v>Extended</v>
      </c>
    </row>
    <row r="151" spans="1:15" x14ac:dyDescent="0.3">
      <c r="A151" t="s">
        <v>350</v>
      </c>
      <c r="B151" t="s">
        <v>351</v>
      </c>
      <c r="C151">
        <v>7</v>
      </c>
      <c r="D151" t="s">
        <v>25</v>
      </c>
      <c r="E151" s="1">
        <v>45523</v>
      </c>
      <c r="F151" s="1">
        <v>45531</v>
      </c>
      <c r="G151" t="s">
        <v>43</v>
      </c>
      <c r="H151" t="s">
        <v>73</v>
      </c>
      <c r="I151">
        <v>4175</v>
      </c>
      <c r="J151" t="s">
        <v>34</v>
      </c>
      <c r="K151" t="s">
        <v>49</v>
      </c>
      <c r="L151" t="s">
        <v>45</v>
      </c>
      <c r="M151" t="s">
        <v>22</v>
      </c>
      <c r="N151">
        <v>8</v>
      </c>
      <c r="O151" t="str">
        <f t="shared" si="2"/>
        <v>Extended</v>
      </c>
    </row>
    <row r="152" spans="1:15" x14ac:dyDescent="0.3">
      <c r="A152" t="s">
        <v>352</v>
      </c>
      <c r="B152" t="s">
        <v>353</v>
      </c>
      <c r="C152">
        <v>10</v>
      </c>
      <c r="D152" t="s">
        <v>16</v>
      </c>
      <c r="E152" s="1">
        <v>45591</v>
      </c>
      <c r="F152" s="1">
        <v>45592</v>
      </c>
      <c r="G152" t="s">
        <v>32</v>
      </c>
      <c r="H152" t="s">
        <v>39</v>
      </c>
      <c r="I152">
        <v>3303</v>
      </c>
      <c r="J152" t="s">
        <v>34</v>
      </c>
      <c r="K152" t="s">
        <v>54</v>
      </c>
      <c r="L152" t="s">
        <v>21</v>
      </c>
      <c r="M152" t="s">
        <v>29</v>
      </c>
      <c r="N152">
        <v>1</v>
      </c>
      <c r="O152" t="str">
        <f t="shared" si="2"/>
        <v>Normal</v>
      </c>
    </row>
    <row r="153" spans="1:15" x14ac:dyDescent="0.3">
      <c r="A153" t="s">
        <v>354</v>
      </c>
      <c r="B153" t="s">
        <v>355</v>
      </c>
      <c r="C153">
        <v>76</v>
      </c>
      <c r="D153" t="s">
        <v>25</v>
      </c>
      <c r="E153" s="1">
        <v>45585</v>
      </c>
      <c r="F153" s="1">
        <v>45597</v>
      </c>
      <c r="G153" t="s">
        <v>26</v>
      </c>
      <c r="H153" t="s">
        <v>48</v>
      </c>
      <c r="I153">
        <v>7254</v>
      </c>
      <c r="J153" t="s">
        <v>34</v>
      </c>
      <c r="K153" t="s">
        <v>20</v>
      </c>
      <c r="L153" t="s">
        <v>59</v>
      </c>
      <c r="M153" t="s">
        <v>29</v>
      </c>
      <c r="N153">
        <v>12</v>
      </c>
      <c r="O153" t="str">
        <f t="shared" si="2"/>
        <v>Extended</v>
      </c>
    </row>
    <row r="154" spans="1:15" x14ac:dyDescent="0.3">
      <c r="A154" t="s">
        <v>356</v>
      </c>
      <c r="B154" t="s">
        <v>357</v>
      </c>
      <c r="C154">
        <v>72</v>
      </c>
      <c r="D154" t="s">
        <v>16</v>
      </c>
      <c r="E154" s="1">
        <v>45725</v>
      </c>
      <c r="F154" s="1">
        <v>45735</v>
      </c>
      <c r="G154" t="s">
        <v>26</v>
      </c>
      <c r="H154" t="s">
        <v>33</v>
      </c>
      <c r="I154">
        <v>6510</v>
      </c>
      <c r="J154" t="s">
        <v>19</v>
      </c>
      <c r="K154" t="s">
        <v>54</v>
      </c>
      <c r="L154" t="s">
        <v>55</v>
      </c>
      <c r="M154" t="s">
        <v>22</v>
      </c>
      <c r="N154">
        <v>10</v>
      </c>
      <c r="O154" t="str">
        <f t="shared" si="2"/>
        <v>Extended</v>
      </c>
    </row>
    <row r="155" spans="1:15" x14ac:dyDescent="0.3">
      <c r="A155" t="s">
        <v>358</v>
      </c>
      <c r="B155" t="s">
        <v>359</v>
      </c>
      <c r="C155">
        <v>3</v>
      </c>
      <c r="D155" t="s">
        <v>16</v>
      </c>
      <c r="E155" s="1">
        <v>45637</v>
      </c>
      <c r="F155" s="1">
        <v>45650</v>
      </c>
      <c r="G155" t="s">
        <v>43</v>
      </c>
      <c r="H155" t="s">
        <v>39</v>
      </c>
      <c r="I155">
        <v>2845</v>
      </c>
      <c r="J155" t="s">
        <v>34</v>
      </c>
      <c r="K155" t="s">
        <v>40</v>
      </c>
      <c r="L155" t="s">
        <v>36</v>
      </c>
      <c r="M155" t="s">
        <v>22</v>
      </c>
      <c r="N155">
        <v>13</v>
      </c>
      <c r="O155" t="str">
        <f t="shared" si="2"/>
        <v>Extended</v>
      </c>
    </row>
    <row r="156" spans="1:15" x14ac:dyDescent="0.3">
      <c r="A156" t="s">
        <v>360</v>
      </c>
      <c r="B156" t="s">
        <v>361</v>
      </c>
      <c r="C156">
        <v>77</v>
      </c>
      <c r="D156" t="s">
        <v>25</v>
      </c>
      <c r="E156" s="1">
        <v>45721</v>
      </c>
      <c r="F156" s="1">
        <v>45724</v>
      </c>
      <c r="G156" t="s">
        <v>43</v>
      </c>
      <c r="H156" t="s">
        <v>33</v>
      </c>
      <c r="I156">
        <v>3968</v>
      </c>
      <c r="J156" t="s">
        <v>34</v>
      </c>
      <c r="K156" t="s">
        <v>54</v>
      </c>
      <c r="L156" t="s">
        <v>55</v>
      </c>
      <c r="M156" t="s">
        <v>22</v>
      </c>
      <c r="N156">
        <v>3</v>
      </c>
      <c r="O156" t="str">
        <f t="shared" si="2"/>
        <v>Normal</v>
      </c>
    </row>
    <row r="157" spans="1:15" x14ac:dyDescent="0.3">
      <c r="A157" t="s">
        <v>362</v>
      </c>
      <c r="B157" t="s">
        <v>363</v>
      </c>
      <c r="C157">
        <v>9</v>
      </c>
      <c r="D157" t="s">
        <v>16</v>
      </c>
      <c r="E157" s="1">
        <v>45507</v>
      </c>
      <c r="F157" s="1">
        <v>45520</v>
      </c>
      <c r="G157" t="s">
        <v>66</v>
      </c>
      <c r="H157" t="s">
        <v>33</v>
      </c>
      <c r="I157">
        <v>3018</v>
      </c>
      <c r="J157" t="s">
        <v>34</v>
      </c>
      <c r="K157" t="s">
        <v>133</v>
      </c>
      <c r="L157" t="s">
        <v>55</v>
      </c>
      <c r="M157" t="s">
        <v>50</v>
      </c>
      <c r="N157">
        <v>13</v>
      </c>
      <c r="O157" t="str">
        <f t="shared" si="2"/>
        <v>Extended</v>
      </c>
    </row>
    <row r="158" spans="1:15" x14ac:dyDescent="0.3">
      <c r="A158" t="s">
        <v>364</v>
      </c>
      <c r="B158" t="s">
        <v>365</v>
      </c>
      <c r="C158">
        <v>81</v>
      </c>
      <c r="D158" t="s">
        <v>16</v>
      </c>
      <c r="E158" s="1">
        <v>45545</v>
      </c>
      <c r="F158" s="1">
        <v>45558</v>
      </c>
      <c r="G158" t="s">
        <v>26</v>
      </c>
      <c r="H158" t="s">
        <v>89</v>
      </c>
      <c r="I158">
        <v>7292</v>
      </c>
      <c r="J158" t="s">
        <v>34</v>
      </c>
      <c r="K158" t="s">
        <v>49</v>
      </c>
      <c r="L158" t="s">
        <v>36</v>
      </c>
      <c r="M158" t="s">
        <v>50</v>
      </c>
      <c r="N158">
        <v>13</v>
      </c>
      <c r="O158" t="str">
        <f t="shared" si="2"/>
        <v>Extended</v>
      </c>
    </row>
    <row r="159" spans="1:15" x14ac:dyDescent="0.3">
      <c r="A159" t="s">
        <v>366</v>
      </c>
      <c r="B159" t="s">
        <v>367</v>
      </c>
      <c r="C159">
        <v>55</v>
      </c>
      <c r="D159" t="s">
        <v>16</v>
      </c>
      <c r="E159" s="1">
        <v>45490</v>
      </c>
      <c r="F159" s="1">
        <v>45498</v>
      </c>
      <c r="G159" t="s">
        <v>66</v>
      </c>
      <c r="H159" t="s">
        <v>63</v>
      </c>
      <c r="I159">
        <v>1981</v>
      </c>
      <c r="J159" t="s">
        <v>34</v>
      </c>
      <c r="K159" t="s">
        <v>133</v>
      </c>
      <c r="L159" t="s">
        <v>55</v>
      </c>
      <c r="M159" t="s">
        <v>50</v>
      </c>
      <c r="N159">
        <v>8</v>
      </c>
      <c r="O159" t="str">
        <f t="shared" si="2"/>
        <v>Extended</v>
      </c>
    </row>
    <row r="160" spans="1:15" x14ac:dyDescent="0.3">
      <c r="A160" t="s">
        <v>368</v>
      </c>
      <c r="B160" t="s">
        <v>369</v>
      </c>
      <c r="C160">
        <v>80</v>
      </c>
      <c r="D160" t="s">
        <v>25</v>
      </c>
      <c r="E160" s="1">
        <v>45714</v>
      </c>
      <c r="F160" s="1">
        <v>45715</v>
      </c>
      <c r="G160" t="s">
        <v>32</v>
      </c>
      <c r="H160" t="s">
        <v>89</v>
      </c>
      <c r="I160">
        <v>3900</v>
      </c>
      <c r="J160" t="s">
        <v>34</v>
      </c>
      <c r="K160" t="s">
        <v>44</v>
      </c>
      <c r="L160" t="s">
        <v>55</v>
      </c>
      <c r="M160" t="s">
        <v>29</v>
      </c>
      <c r="N160">
        <v>1</v>
      </c>
      <c r="O160" t="str">
        <f t="shared" si="2"/>
        <v>Normal</v>
      </c>
    </row>
    <row r="161" spans="1:15" x14ac:dyDescent="0.3">
      <c r="A161" t="s">
        <v>370</v>
      </c>
      <c r="B161" t="s">
        <v>371</v>
      </c>
      <c r="C161">
        <v>1</v>
      </c>
      <c r="D161" t="s">
        <v>16</v>
      </c>
      <c r="E161" s="1">
        <v>45738</v>
      </c>
      <c r="F161" s="1">
        <v>45742</v>
      </c>
      <c r="G161" t="s">
        <v>32</v>
      </c>
      <c r="H161" t="s">
        <v>89</v>
      </c>
      <c r="I161">
        <v>7929</v>
      </c>
      <c r="J161" t="s">
        <v>19</v>
      </c>
      <c r="K161" t="s">
        <v>20</v>
      </c>
      <c r="L161" t="s">
        <v>78</v>
      </c>
      <c r="M161" t="s">
        <v>29</v>
      </c>
      <c r="N161">
        <v>4</v>
      </c>
      <c r="O161" t="str">
        <f t="shared" si="2"/>
        <v>Extended</v>
      </c>
    </row>
    <row r="162" spans="1:15" x14ac:dyDescent="0.3">
      <c r="A162" t="s">
        <v>372</v>
      </c>
      <c r="B162" t="s">
        <v>373</v>
      </c>
      <c r="C162">
        <v>57</v>
      </c>
      <c r="D162" t="s">
        <v>16</v>
      </c>
      <c r="E162" s="1">
        <v>45464</v>
      </c>
      <c r="F162" s="1">
        <v>45470</v>
      </c>
      <c r="G162" t="s">
        <v>62</v>
      </c>
      <c r="H162" t="s">
        <v>33</v>
      </c>
      <c r="I162">
        <v>8305</v>
      </c>
      <c r="J162" t="s">
        <v>19</v>
      </c>
      <c r="K162" t="s">
        <v>49</v>
      </c>
      <c r="L162" t="s">
        <v>36</v>
      </c>
      <c r="M162" t="s">
        <v>50</v>
      </c>
      <c r="N162">
        <v>6</v>
      </c>
      <c r="O162" t="str">
        <f t="shared" si="2"/>
        <v>Extended</v>
      </c>
    </row>
    <row r="163" spans="1:15" x14ac:dyDescent="0.3">
      <c r="A163" t="s">
        <v>374</v>
      </c>
      <c r="B163" t="s">
        <v>375</v>
      </c>
      <c r="C163">
        <v>61</v>
      </c>
      <c r="D163" t="s">
        <v>25</v>
      </c>
      <c r="E163" s="1">
        <v>45749</v>
      </c>
      <c r="F163" s="1">
        <v>45751</v>
      </c>
      <c r="G163" t="s">
        <v>32</v>
      </c>
      <c r="H163" t="s">
        <v>53</v>
      </c>
      <c r="I163">
        <v>5118</v>
      </c>
      <c r="J163" t="s">
        <v>19</v>
      </c>
      <c r="K163" t="s">
        <v>54</v>
      </c>
      <c r="L163" t="s">
        <v>21</v>
      </c>
      <c r="M163" t="s">
        <v>22</v>
      </c>
      <c r="N163">
        <v>2</v>
      </c>
      <c r="O163" t="str">
        <f t="shared" si="2"/>
        <v>Normal</v>
      </c>
    </row>
    <row r="164" spans="1:15" x14ac:dyDescent="0.3">
      <c r="A164" t="s">
        <v>376</v>
      </c>
      <c r="B164" t="s">
        <v>377</v>
      </c>
      <c r="C164">
        <v>4</v>
      </c>
      <c r="D164" t="s">
        <v>16</v>
      </c>
      <c r="E164" s="1">
        <v>45698</v>
      </c>
      <c r="F164" s="1">
        <v>45705</v>
      </c>
      <c r="G164" t="s">
        <v>62</v>
      </c>
      <c r="H164" t="s">
        <v>89</v>
      </c>
      <c r="I164">
        <v>6084</v>
      </c>
      <c r="J164" t="s">
        <v>19</v>
      </c>
      <c r="K164" t="s">
        <v>20</v>
      </c>
      <c r="L164" t="s">
        <v>45</v>
      </c>
      <c r="M164" t="s">
        <v>50</v>
      </c>
      <c r="N164">
        <v>7</v>
      </c>
      <c r="O164" t="str">
        <f t="shared" si="2"/>
        <v>Extended</v>
      </c>
    </row>
    <row r="165" spans="1:15" x14ac:dyDescent="0.3">
      <c r="A165" t="s">
        <v>378</v>
      </c>
      <c r="B165" t="s">
        <v>379</v>
      </c>
      <c r="C165">
        <v>66</v>
      </c>
      <c r="D165" t="s">
        <v>25</v>
      </c>
      <c r="E165" s="1">
        <v>45513</v>
      </c>
      <c r="F165" s="1">
        <v>45520</v>
      </c>
      <c r="G165" t="s">
        <v>62</v>
      </c>
      <c r="H165" t="s">
        <v>63</v>
      </c>
      <c r="I165">
        <v>4579</v>
      </c>
      <c r="J165" t="s">
        <v>19</v>
      </c>
      <c r="K165" t="s">
        <v>35</v>
      </c>
      <c r="L165" t="s">
        <v>78</v>
      </c>
      <c r="M165" t="s">
        <v>22</v>
      </c>
      <c r="N165">
        <v>7</v>
      </c>
      <c r="O165" t="str">
        <f t="shared" si="2"/>
        <v>Extended</v>
      </c>
    </row>
    <row r="166" spans="1:15" x14ac:dyDescent="0.3">
      <c r="A166" t="s">
        <v>380</v>
      </c>
      <c r="B166" t="s">
        <v>381</v>
      </c>
      <c r="C166">
        <v>17</v>
      </c>
      <c r="D166" t="s">
        <v>25</v>
      </c>
      <c r="E166" s="1">
        <v>45720</v>
      </c>
      <c r="F166" s="1">
        <v>45732</v>
      </c>
      <c r="G166" t="s">
        <v>32</v>
      </c>
      <c r="H166" t="s">
        <v>89</v>
      </c>
      <c r="I166">
        <v>1565</v>
      </c>
      <c r="J166" t="s">
        <v>34</v>
      </c>
      <c r="K166" t="s">
        <v>54</v>
      </c>
      <c r="L166" t="s">
        <v>45</v>
      </c>
      <c r="M166" t="s">
        <v>22</v>
      </c>
      <c r="N166">
        <v>12</v>
      </c>
      <c r="O166" t="str">
        <f t="shared" si="2"/>
        <v>Extended</v>
      </c>
    </row>
    <row r="167" spans="1:15" x14ac:dyDescent="0.3">
      <c r="A167" t="s">
        <v>382</v>
      </c>
      <c r="B167" t="s">
        <v>383</v>
      </c>
      <c r="C167">
        <v>22</v>
      </c>
      <c r="D167" t="s">
        <v>25</v>
      </c>
      <c r="E167" s="1">
        <v>45766</v>
      </c>
      <c r="F167" s="1">
        <v>45777</v>
      </c>
      <c r="G167" t="s">
        <v>32</v>
      </c>
      <c r="H167" t="s">
        <v>39</v>
      </c>
      <c r="I167">
        <v>6198</v>
      </c>
      <c r="J167" t="s">
        <v>34</v>
      </c>
      <c r="K167" t="s">
        <v>35</v>
      </c>
      <c r="L167" t="s">
        <v>78</v>
      </c>
      <c r="M167" t="s">
        <v>22</v>
      </c>
      <c r="N167">
        <v>11</v>
      </c>
      <c r="O167" t="str">
        <f t="shared" si="2"/>
        <v>Extended</v>
      </c>
    </row>
    <row r="168" spans="1:15" x14ac:dyDescent="0.3">
      <c r="A168" t="s">
        <v>384</v>
      </c>
      <c r="B168" t="s">
        <v>385</v>
      </c>
      <c r="C168">
        <v>37</v>
      </c>
      <c r="D168" t="s">
        <v>25</v>
      </c>
      <c r="E168" s="1">
        <v>45681</v>
      </c>
      <c r="F168" s="1">
        <v>45683</v>
      </c>
      <c r="G168" t="s">
        <v>66</v>
      </c>
      <c r="H168" t="s">
        <v>27</v>
      </c>
      <c r="I168">
        <v>3821</v>
      </c>
      <c r="J168" t="s">
        <v>19</v>
      </c>
      <c r="K168" t="s">
        <v>49</v>
      </c>
      <c r="L168" t="s">
        <v>36</v>
      </c>
      <c r="M168" t="s">
        <v>22</v>
      </c>
      <c r="N168">
        <v>2</v>
      </c>
      <c r="O168" t="str">
        <f t="shared" si="2"/>
        <v>Normal</v>
      </c>
    </row>
    <row r="169" spans="1:15" x14ac:dyDescent="0.3">
      <c r="A169" t="s">
        <v>386</v>
      </c>
      <c r="B169" t="s">
        <v>387</v>
      </c>
      <c r="C169">
        <v>38</v>
      </c>
      <c r="D169" t="s">
        <v>25</v>
      </c>
      <c r="E169" s="1">
        <v>45784</v>
      </c>
      <c r="F169" s="1">
        <v>45798</v>
      </c>
      <c r="G169" t="s">
        <v>26</v>
      </c>
      <c r="H169" t="s">
        <v>27</v>
      </c>
      <c r="I169">
        <v>8406</v>
      </c>
      <c r="J169" t="s">
        <v>19</v>
      </c>
      <c r="K169" t="s">
        <v>49</v>
      </c>
      <c r="L169" t="s">
        <v>36</v>
      </c>
      <c r="M169" t="s">
        <v>50</v>
      </c>
      <c r="N169">
        <v>14</v>
      </c>
      <c r="O169" t="str">
        <f t="shared" si="2"/>
        <v>Extended</v>
      </c>
    </row>
    <row r="170" spans="1:15" x14ac:dyDescent="0.3">
      <c r="A170" t="s">
        <v>388</v>
      </c>
      <c r="B170" t="s">
        <v>389</v>
      </c>
      <c r="C170">
        <v>21</v>
      </c>
      <c r="D170" t="s">
        <v>25</v>
      </c>
      <c r="E170" s="1">
        <v>45693</v>
      </c>
      <c r="F170" s="1">
        <v>45704</v>
      </c>
      <c r="G170" t="s">
        <v>26</v>
      </c>
      <c r="H170" t="s">
        <v>73</v>
      </c>
      <c r="I170">
        <v>4890</v>
      </c>
      <c r="J170" t="s">
        <v>19</v>
      </c>
      <c r="K170" t="s">
        <v>133</v>
      </c>
      <c r="L170" t="s">
        <v>28</v>
      </c>
      <c r="M170" t="s">
        <v>50</v>
      </c>
      <c r="N170">
        <v>11</v>
      </c>
      <c r="O170" t="str">
        <f t="shared" si="2"/>
        <v>Extended</v>
      </c>
    </row>
    <row r="171" spans="1:15" x14ac:dyDescent="0.3">
      <c r="A171" t="s">
        <v>390</v>
      </c>
      <c r="B171" t="s">
        <v>391</v>
      </c>
      <c r="C171">
        <v>15</v>
      </c>
      <c r="D171" t="s">
        <v>25</v>
      </c>
      <c r="E171" s="1">
        <v>45799</v>
      </c>
      <c r="F171" s="1">
        <v>45812</v>
      </c>
      <c r="G171" t="s">
        <v>62</v>
      </c>
      <c r="H171" t="s">
        <v>53</v>
      </c>
      <c r="I171">
        <v>7794</v>
      </c>
      <c r="J171" t="s">
        <v>19</v>
      </c>
      <c r="K171" t="s">
        <v>133</v>
      </c>
      <c r="L171" t="s">
        <v>28</v>
      </c>
      <c r="M171" t="s">
        <v>22</v>
      </c>
      <c r="N171">
        <v>13</v>
      </c>
      <c r="O171" t="str">
        <f t="shared" si="2"/>
        <v>Extended</v>
      </c>
    </row>
    <row r="172" spans="1:15" x14ac:dyDescent="0.3">
      <c r="A172" t="s">
        <v>392</v>
      </c>
      <c r="B172" t="s">
        <v>393</v>
      </c>
      <c r="C172">
        <v>20</v>
      </c>
      <c r="D172" t="s">
        <v>16</v>
      </c>
      <c r="E172" s="1">
        <v>45628</v>
      </c>
      <c r="F172" s="1">
        <v>45639</v>
      </c>
      <c r="G172" t="s">
        <v>62</v>
      </c>
      <c r="H172" t="s">
        <v>73</v>
      </c>
      <c r="I172">
        <v>8053</v>
      </c>
      <c r="J172" t="s">
        <v>19</v>
      </c>
      <c r="K172" t="s">
        <v>133</v>
      </c>
      <c r="L172" t="s">
        <v>21</v>
      </c>
      <c r="M172" t="s">
        <v>50</v>
      </c>
      <c r="N172">
        <v>11</v>
      </c>
      <c r="O172" t="str">
        <f t="shared" si="2"/>
        <v>Extended</v>
      </c>
    </row>
    <row r="173" spans="1:15" x14ac:dyDescent="0.3">
      <c r="A173" t="s">
        <v>394</v>
      </c>
      <c r="B173" t="s">
        <v>395</v>
      </c>
      <c r="C173">
        <v>73</v>
      </c>
      <c r="D173" t="s">
        <v>25</v>
      </c>
      <c r="E173" s="1">
        <v>45688</v>
      </c>
      <c r="F173" s="1">
        <v>45694</v>
      </c>
      <c r="G173" t="s">
        <v>66</v>
      </c>
      <c r="H173" t="s">
        <v>58</v>
      </c>
      <c r="I173">
        <v>9481</v>
      </c>
      <c r="J173" t="s">
        <v>19</v>
      </c>
      <c r="K173" t="s">
        <v>20</v>
      </c>
      <c r="L173" t="s">
        <v>59</v>
      </c>
      <c r="M173" t="s">
        <v>29</v>
      </c>
      <c r="N173">
        <v>6</v>
      </c>
      <c r="O173" t="str">
        <f t="shared" si="2"/>
        <v>Extended</v>
      </c>
    </row>
    <row r="174" spans="1:15" x14ac:dyDescent="0.3">
      <c r="A174" t="s">
        <v>396</v>
      </c>
      <c r="B174" t="s">
        <v>397</v>
      </c>
      <c r="C174">
        <v>66</v>
      </c>
      <c r="D174" t="s">
        <v>25</v>
      </c>
      <c r="E174" s="1">
        <v>45649</v>
      </c>
      <c r="F174" s="1">
        <v>45660</v>
      </c>
      <c r="G174" t="s">
        <v>62</v>
      </c>
      <c r="H174" t="s">
        <v>73</v>
      </c>
      <c r="I174">
        <v>7339</v>
      </c>
      <c r="J174" t="s">
        <v>34</v>
      </c>
      <c r="K174" t="s">
        <v>40</v>
      </c>
      <c r="L174" t="s">
        <v>59</v>
      </c>
      <c r="M174" t="s">
        <v>22</v>
      </c>
      <c r="N174">
        <v>11</v>
      </c>
      <c r="O174" t="str">
        <f t="shared" si="2"/>
        <v>Extended</v>
      </c>
    </row>
    <row r="175" spans="1:15" x14ac:dyDescent="0.3">
      <c r="A175" t="s">
        <v>398</v>
      </c>
      <c r="B175" t="s">
        <v>399</v>
      </c>
      <c r="C175">
        <v>35</v>
      </c>
      <c r="D175" t="s">
        <v>25</v>
      </c>
      <c r="E175" s="1">
        <v>45673</v>
      </c>
      <c r="F175" s="1">
        <v>45678</v>
      </c>
      <c r="G175" t="s">
        <v>32</v>
      </c>
      <c r="H175" t="s">
        <v>73</v>
      </c>
      <c r="I175">
        <v>6004</v>
      </c>
      <c r="J175" t="s">
        <v>19</v>
      </c>
      <c r="K175" t="s">
        <v>40</v>
      </c>
      <c r="L175" t="s">
        <v>78</v>
      </c>
      <c r="M175" t="s">
        <v>50</v>
      </c>
      <c r="N175">
        <v>5</v>
      </c>
      <c r="O175" t="str">
        <f t="shared" si="2"/>
        <v>Extended</v>
      </c>
    </row>
    <row r="176" spans="1:15" x14ac:dyDescent="0.3">
      <c r="A176" t="s">
        <v>400</v>
      </c>
      <c r="B176" t="s">
        <v>401</v>
      </c>
      <c r="C176">
        <v>79</v>
      </c>
      <c r="D176" t="s">
        <v>16</v>
      </c>
      <c r="E176" s="1">
        <v>45603</v>
      </c>
      <c r="F176" s="1">
        <v>45609</v>
      </c>
      <c r="G176" t="s">
        <v>62</v>
      </c>
      <c r="H176" t="s">
        <v>39</v>
      </c>
      <c r="I176">
        <v>1364</v>
      </c>
      <c r="J176" t="s">
        <v>19</v>
      </c>
      <c r="K176" t="s">
        <v>44</v>
      </c>
      <c r="L176" t="s">
        <v>45</v>
      </c>
      <c r="M176" t="s">
        <v>50</v>
      </c>
      <c r="N176">
        <v>6</v>
      </c>
      <c r="O176" t="str">
        <f t="shared" si="2"/>
        <v>Extended</v>
      </c>
    </row>
    <row r="177" spans="1:15" x14ac:dyDescent="0.3">
      <c r="A177" t="s">
        <v>402</v>
      </c>
      <c r="B177" t="s">
        <v>403</v>
      </c>
      <c r="C177">
        <v>76</v>
      </c>
      <c r="D177" t="s">
        <v>16</v>
      </c>
      <c r="E177" s="1">
        <v>45565</v>
      </c>
      <c r="F177" s="1">
        <v>45578</v>
      </c>
      <c r="G177" t="s">
        <v>17</v>
      </c>
      <c r="H177" t="s">
        <v>73</v>
      </c>
      <c r="I177">
        <v>2306</v>
      </c>
      <c r="J177" t="s">
        <v>34</v>
      </c>
      <c r="K177" t="s">
        <v>20</v>
      </c>
      <c r="L177" t="s">
        <v>55</v>
      </c>
      <c r="M177" t="s">
        <v>22</v>
      </c>
      <c r="N177">
        <v>13</v>
      </c>
      <c r="O177" t="str">
        <f t="shared" si="2"/>
        <v>Extended</v>
      </c>
    </row>
    <row r="178" spans="1:15" x14ac:dyDescent="0.3">
      <c r="A178" t="s">
        <v>404</v>
      </c>
      <c r="B178" t="s">
        <v>405</v>
      </c>
      <c r="C178">
        <v>73</v>
      </c>
      <c r="D178" t="s">
        <v>25</v>
      </c>
      <c r="E178" s="1">
        <v>45791</v>
      </c>
      <c r="F178" s="1">
        <v>45795</v>
      </c>
      <c r="G178" t="s">
        <v>94</v>
      </c>
      <c r="H178" t="s">
        <v>63</v>
      </c>
      <c r="I178">
        <v>6088</v>
      </c>
      <c r="J178" t="s">
        <v>34</v>
      </c>
      <c r="K178" t="s">
        <v>49</v>
      </c>
      <c r="L178" t="s">
        <v>21</v>
      </c>
      <c r="M178" t="s">
        <v>29</v>
      </c>
      <c r="N178">
        <v>4</v>
      </c>
      <c r="O178" t="str">
        <f t="shared" si="2"/>
        <v>Extended</v>
      </c>
    </row>
    <row r="179" spans="1:15" x14ac:dyDescent="0.3">
      <c r="A179" t="s">
        <v>406</v>
      </c>
      <c r="B179" t="s">
        <v>407</v>
      </c>
      <c r="C179">
        <v>89</v>
      </c>
      <c r="D179" t="s">
        <v>16</v>
      </c>
      <c r="E179" s="1">
        <v>45771</v>
      </c>
      <c r="F179" s="1">
        <v>45780</v>
      </c>
      <c r="G179" t="s">
        <v>94</v>
      </c>
      <c r="H179" t="s">
        <v>18</v>
      </c>
      <c r="I179">
        <v>2886</v>
      </c>
      <c r="J179" t="s">
        <v>19</v>
      </c>
      <c r="K179" t="s">
        <v>133</v>
      </c>
      <c r="L179" t="s">
        <v>21</v>
      </c>
      <c r="M179" t="s">
        <v>50</v>
      </c>
      <c r="N179">
        <v>9</v>
      </c>
      <c r="O179" t="str">
        <f t="shared" si="2"/>
        <v>Extended</v>
      </c>
    </row>
    <row r="180" spans="1:15" x14ac:dyDescent="0.3">
      <c r="A180" t="s">
        <v>408</v>
      </c>
      <c r="B180" t="s">
        <v>409</v>
      </c>
      <c r="C180">
        <v>45</v>
      </c>
      <c r="D180" t="s">
        <v>16</v>
      </c>
      <c r="E180" s="1">
        <v>45756</v>
      </c>
      <c r="F180" s="1">
        <v>45760</v>
      </c>
      <c r="G180" t="s">
        <v>62</v>
      </c>
      <c r="H180" t="s">
        <v>33</v>
      </c>
      <c r="I180">
        <v>9736</v>
      </c>
      <c r="J180" t="s">
        <v>19</v>
      </c>
      <c r="K180" t="s">
        <v>40</v>
      </c>
      <c r="L180" t="s">
        <v>28</v>
      </c>
      <c r="M180" t="s">
        <v>50</v>
      </c>
      <c r="N180">
        <v>4</v>
      </c>
      <c r="O180" t="str">
        <f t="shared" si="2"/>
        <v>Extended</v>
      </c>
    </row>
    <row r="181" spans="1:15" x14ac:dyDescent="0.3">
      <c r="A181" t="s">
        <v>410</v>
      </c>
      <c r="B181" t="s">
        <v>411</v>
      </c>
      <c r="C181">
        <v>11</v>
      </c>
      <c r="D181" t="s">
        <v>25</v>
      </c>
      <c r="E181" s="1">
        <v>45756</v>
      </c>
      <c r="F181" s="1">
        <v>45766</v>
      </c>
      <c r="G181" t="s">
        <v>62</v>
      </c>
      <c r="H181" t="s">
        <v>18</v>
      </c>
      <c r="I181">
        <v>5973</v>
      </c>
      <c r="J181" t="s">
        <v>19</v>
      </c>
      <c r="K181" t="s">
        <v>40</v>
      </c>
      <c r="L181" t="s">
        <v>28</v>
      </c>
      <c r="M181" t="s">
        <v>29</v>
      </c>
      <c r="N181">
        <v>10</v>
      </c>
      <c r="O181" t="str">
        <f t="shared" si="2"/>
        <v>Extended</v>
      </c>
    </row>
    <row r="182" spans="1:15" x14ac:dyDescent="0.3">
      <c r="A182" t="s">
        <v>412</v>
      </c>
      <c r="B182" t="s">
        <v>413</v>
      </c>
      <c r="C182">
        <v>6</v>
      </c>
      <c r="D182" t="s">
        <v>25</v>
      </c>
      <c r="E182" s="1">
        <v>45494</v>
      </c>
      <c r="F182" s="1">
        <v>45507</v>
      </c>
      <c r="G182" t="s">
        <v>17</v>
      </c>
      <c r="H182" t="s">
        <v>73</v>
      </c>
      <c r="I182">
        <v>9062</v>
      </c>
      <c r="J182" t="s">
        <v>34</v>
      </c>
      <c r="K182" t="s">
        <v>44</v>
      </c>
      <c r="L182" t="s">
        <v>78</v>
      </c>
      <c r="M182" t="s">
        <v>22</v>
      </c>
      <c r="N182">
        <v>13</v>
      </c>
      <c r="O182" t="str">
        <f t="shared" si="2"/>
        <v>Extended</v>
      </c>
    </row>
    <row r="183" spans="1:15" x14ac:dyDescent="0.3">
      <c r="A183" t="s">
        <v>414</v>
      </c>
      <c r="B183" t="s">
        <v>415</v>
      </c>
      <c r="C183">
        <v>87</v>
      </c>
      <c r="D183" t="s">
        <v>25</v>
      </c>
      <c r="E183" s="1">
        <v>45519</v>
      </c>
      <c r="F183" s="1">
        <v>45533</v>
      </c>
      <c r="G183" t="s">
        <v>32</v>
      </c>
      <c r="H183" t="s">
        <v>73</v>
      </c>
      <c r="I183">
        <v>1220</v>
      </c>
      <c r="J183" t="s">
        <v>34</v>
      </c>
      <c r="K183" t="s">
        <v>133</v>
      </c>
      <c r="L183" t="s">
        <v>36</v>
      </c>
      <c r="M183" t="s">
        <v>29</v>
      </c>
      <c r="N183">
        <v>14</v>
      </c>
      <c r="O183" t="str">
        <f t="shared" si="2"/>
        <v>Extended</v>
      </c>
    </row>
    <row r="184" spans="1:15" x14ac:dyDescent="0.3">
      <c r="A184" t="s">
        <v>416</v>
      </c>
      <c r="B184" t="s">
        <v>417</v>
      </c>
      <c r="C184">
        <v>27</v>
      </c>
      <c r="D184" t="s">
        <v>16</v>
      </c>
      <c r="E184" s="1">
        <v>45526</v>
      </c>
      <c r="F184" s="1">
        <v>45536</v>
      </c>
      <c r="G184" t="s">
        <v>32</v>
      </c>
      <c r="H184" t="s">
        <v>89</v>
      </c>
      <c r="I184">
        <v>2664</v>
      </c>
      <c r="J184" t="s">
        <v>34</v>
      </c>
      <c r="K184" t="s">
        <v>35</v>
      </c>
      <c r="L184" t="s">
        <v>55</v>
      </c>
      <c r="M184" t="s">
        <v>22</v>
      </c>
      <c r="N184">
        <v>10</v>
      </c>
      <c r="O184" t="str">
        <f t="shared" si="2"/>
        <v>Extended</v>
      </c>
    </row>
    <row r="185" spans="1:15" x14ac:dyDescent="0.3">
      <c r="A185" t="s">
        <v>418</v>
      </c>
      <c r="B185" t="s">
        <v>419</v>
      </c>
      <c r="C185">
        <v>41</v>
      </c>
      <c r="D185" t="s">
        <v>16</v>
      </c>
      <c r="E185" s="1">
        <v>45744</v>
      </c>
      <c r="F185" s="1">
        <v>45754</v>
      </c>
      <c r="G185" t="s">
        <v>32</v>
      </c>
      <c r="H185" t="s">
        <v>48</v>
      </c>
      <c r="I185">
        <v>2991</v>
      </c>
      <c r="J185" t="s">
        <v>34</v>
      </c>
      <c r="K185" t="s">
        <v>44</v>
      </c>
      <c r="L185" t="s">
        <v>78</v>
      </c>
      <c r="M185" t="s">
        <v>22</v>
      </c>
      <c r="N185">
        <v>10</v>
      </c>
      <c r="O185" t="str">
        <f t="shared" si="2"/>
        <v>Extended</v>
      </c>
    </row>
    <row r="186" spans="1:15" x14ac:dyDescent="0.3">
      <c r="A186" t="s">
        <v>420</v>
      </c>
      <c r="B186" t="s">
        <v>421</v>
      </c>
      <c r="C186">
        <v>23</v>
      </c>
      <c r="D186" t="s">
        <v>16</v>
      </c>
      <c r="E186" s="1">
        <v>45555</v>
      </c>
      <c r="F186" s="1">
        <v>45561</v>
      </c>
      <c r="G186" t="s">
        <v>32</v>
      </c>
      <c r="H186" t="s">
        <v>63</v>
      </c>
      <c r="I186">
        <v>2858</v>
      </c>
      <c r="J186" t="s">
        <v>34</v>
      </c>
      <c r="K186" t="s">
        <v>20</v>
      </c>
      <c r="L186" t="s">
        <v>59</v>
      </c>
      <c r="M186" t="s">
        <v>29</v>
      </c>
      <c r="N186">
        <v>6</v>
      </c>
      <c r="O186" t="str">
        <f t="shared" si="2"/>
        <v>Extended</v>
      </c>
    </row>
    <row r="187" spans="1:15" x14ac:dyDescent="0.3">
      <c r="A187" t="s">
        <v>422</v>
      </c>
      <c r="B187" t="s">
        <v>423</v>
      </c>
      <c r="C187">
        <v>21</v>
      </c>
      <c r="D187" t="s">
        <v>16</v>
      </c>
      <c r="E187" s="1">
        <v>45610</v>
      </c>
      <c r="F187" s="1">
        <v>45618</v>
      </c>
      <c r="G187" t="s">
        <v>26</v>
      </c>
      <c r="H187" t="s">
        <v>33</v>
      </c>
      <c r="I187">
        <v>3762</v>
      </c>
      <c r="J187" t="s">
        <v>19</v>
      </c>
      <c r="K187" t="s">
        <v>49</v>
      </c>
      <c r="L187" t="s">
        <v>55</v>
      </c>
      <c r="M187" t="s">
        <v>29</v>
      </c>
      <c r="N187">
        <v>8</v>
      </c>
      <c r="O187" t="str">
        <f t="shared" si="2"/>
        <v>Extended</v>
      </c>
    </row>
    <row r="188" spans="1:15" x14ac:dyDescent="0.3">
      <c r="A188" t="s">
        <v>424</v>
      </c>
      <c r="B188" t="s">
        <v>425</v>
      </c>
      <c r="C188">
        <v>24</v>
      </c>
      <c r="D188" t="s">
        <v>16</v>
      </c>
      <c r="E188" s="1">
        <v>45617</v>
      </c>
      <c r="F188" s="1">
        <v>45618</v>
      </c>
      <c r="G188" t="s">
        <v>43</v>
      </c>
      <c r="H188" t="s">
        <v>27</v>
      </c>
      <c r="I188">
        <v>1817</v>
      </c>
      <c r="J188" t="s">
        <v>19</v>
      </c>
      <c r="K188" t="s">
        <v>54</v>
      </c>
      <c r="L188" t="s">
        <v>55</v>
      </c>
      <c r="M188" t="s">
        <v>22</v>
      </c>
      <c r="N188">
        <v>1</v>
      </c>
      <c r="O188" t="str">
        <f t="shared" si="2"/>
        <v>Normal</v>
      </c>
    </row>
    <row r="189" spans="1:15" x14ac:dyDescent="0.3">
      <c r="A189" t="s">
        <v>426</v>
      </c>
      <c r="B189" t="s">
        <v>427</v>
      </c>
      <c r="C189">
        <v>45</v>
      </c>
      <c r="D189" t="s">
        <v>16</v>
      </c>
      <c r="E189" s="1">
        <v>45730</v>
      </c>
      <c r="F189" s="1">
        <v>45741</v>
      </c>
      <c r="G189" t="s">
        <v>43</v>
      </c>
      <c r="H189" t="s">
        <v>33</v>
      </c>
      <c r="I189">
        <v>3879</v>
      </c>
      <c r="J189" t="s">
        <v>34</v>
      </c>
      <c r="K189" t="s">
        <v>35</v>
      </c>
      <c r="L189" t="s">
        <v>59</v>
      </c>
      <c r="M189" t="s">
        <v>29</v>
      </c>
      <c r="N189">
        <v>11</v>
      </c>
      <c r="O189" t="str">
        <f t="shared" si="2"/>
        <v>Extended</v>
      </c>
    </row>
    <row r="190" spans="1:15" x14ac:dyDescent="0.3">
      <c r="A190" t="s">
        <v>428</v>
      </c>
      <c r="B190" t="s">
        <v>429</v>
      </c>
      <c r="C190">
        <v>24</v>
      </c>
      <c r="D190" t="s">
        <v>25</v>
      </c>
      <c r="E190" s="1">
        <v>45542</v>
      </c>
      <c r="F190" s="1">
        <v>45556</v>
      </c>
      <c r="G190" t="s">
        <v>94</v>
      </c>
      <c r="H190" t="s">
        <v>48</v>
      </c>
      <c r="I190">
        <v>6484</v>
      </c>
      <c r="J190" t="s">
        <v>34</v>
      </c>
      <c r="K190" t="s">
        <v>40</v>
      </c>
      <c r="L190" t="s">
        <v>55</v>
      </c>
      <c r="M190" t="s">
        <v>22</v>
      </c>
      <c r="N190">
        <v>14</v>
      </c>
      <c r="O190" t="str">
        <f t="shared" si="2"/>
        <v>Extended</v>
      </c>
    </row>
    <row r="191" spans="1:15" x14ac:dyDescent="0.3">
      <c r="A191" t="s">
        <v>430</v>
      </c>
      <c r="B191" t="s">
        <v>431</v>
      </c>
      <c r="C191">
        <v>12</v>
      </c>
      <c r="D191" t="s">
        <v>25</v>
      </c>
      <c r="E191" s="1">
        <v>45481</v>
      </c>
      <c r="F191" s="1">
        <v>45488</v>
      </c>
      <c r="G191" t="s">
        <v>62</v>
      </c>
      <c r="H191" t="s">
        <v>58</v>
      </c>
      <c r="I191">
        <v>6680</v>
      </c>
      <c r="J191" t="s">
        <v>19</v>
      </c>
      <c r="K191" t="s">
        <v>54</v>
      </c>
      <c r="L191" t="s">
        <v>78</v>
      </c>
      <c r="M191" t="s">
        <v>50</v>
      </c>
      <c r="N191">
        <v>7</v>
      </c>
      <c r="O191" t="str">
        <f t="shared" si="2"/>
        <v>Extended</v>
      </c>
    </row>
    <row r="192" spans="1:15" x14ac:dyDescent="0.3">
      <c r="A192" t="s">
        <v>432</v>
      </c>
      <c r="B192" t="s">
        <v>433</v>
      </c>
      <c r="C192">
        <v>23</v>
      </c>
      <c r="D192" t="s">
        <v>16</v>
      </c>
      <c r="E192" s="1">
        <v>45504</v>
      </c>
      <c r="F192" s="1">
        <v>45516</v>
      </c>
      <c r="G192" t="s">
        <v>17</v>
      </c>
      <c r="H192" t="s">
        <v>27</v>
      </c>
      <c r="I192">
        <v>4450</v>
      </c>
      <c r="J192" t="s">
        <v>19</v>
      </c>
      <c r="K192" t="s">
        <v>49</v>
      </c>
      <c r="L192" t="s">
        <v>78</v>
      </c>
      <c r="M192" t="s">
        <v>50</v>
      </c>
      <c r="N192">
        <v>12</v>
      </c>
      <c r="O192" t="str">
        <f t="shared" si="2"/>
        <v>Extended</v>
      </c>
    </row>
    <row r="193" spans="1:15" x14ac:dyDescent="0.3">
      <c r="A193" t="s">
        <v>434</v>
      </c>
      <c r="B193" t="s">
        <v>435</v>
      </c>
      <c r="C193">
        <v>37</v>
      </c>
      <c r="D193" t="s">
        <v>16</v>
      </c>
      <c r="E193" s="1">
        <v>45685</v>
      </c>
      <c r="F193" s="1">
        <v>45689</v>
      </c>
      <c r="G193" t="s">
        <v>66</v>
      </c>
      <c r="H193" t="s">
        <v>48</v>
      </c>
      <c r="I193">
        <v>8118</v>
      </c>
      <c r="J193" t="s">
        <v>34</v>
      </c>
      <c r="K193" t="s">
        <v>40</v>
      </c>
      <c r="L193" t="s">
        <v>45</v>
      </c>
      <c r="M193" t="s">
        <v>50</v>
      </c>
      <c r="N193">
        <v>4</v>
      </c>
      <c r="O193" t="str">
        <f t="shared" si="2"/>
        <v>Extended</v>
      </c>
    </row>
    <row r="194" spans="1:15" x14ac:dyDescent="0.3">
      <c r="A194" t="s">
        <v>436</v>
      </c>
      <c r="B194" t="s">
        <v>437</v>
      </c>
      <c r="C194">
        <v>24</v>
      </c>
      <c r="D194" t="s">
        <v>25</v>
      </c>
      <c r="E194" s="1">
        <v>45563</v>
      </c>
      <c r="F194" s="1">
        <v>45577</v>
      </c>
      <c r="G194" t="s">
        <v>43</v>
      </c>
      <c r="H194" t="s">
        <v>58</v>
      </c>
      <c r="I194">
        <v>4650</v>
      </c>
      <c r="J194" t="s">
        <v>19</v>
      </c>
      <c r="K194" t="s">
        <v>54</v>
      </c>
      <c r="L194" t="s">
        <v>78</v>
      </c>
      <c r="M194" t="s">
        <v>29</v>
      </c>
      <c r="N194">
        <v>14</v>
      </c>
      <c r="O194" t="str">
        <f t="shared" si="2"/>
        <v>Extended</v>
      </c>
    </row>
    <row r="195" spans="1:15" x14ac:dyDescent="0.3">
      <c r="A195" t="s">
        <v>438</v>
      </c>
      <c r="B195" t="s">
        <v>439</v>
      </c>
      <c r="C195">
        <v>53</v>
      </c>
      <c r="D195" t="s">
        <v>16</v>
      </c>
      <c r="E195" s="1">
        <v>45532</v>
      </c>
      <c r="F195" s="1">
        <v>45546</v>
      </c>
      <c r="G195" t="s">
        <v>66</v>
      </c>
      <c r="H195" t="s">
        <v>33</v>
      </c>
      <c r="I195">
        <v>9156</v>
      </c>
      <c r="J195" t="s">
        <v>19</v>
      </c>
      <c r="K195" t="s">
        <v>40</v>
      </c>
      <c r="L195" t="s">
        <v>78</v>
      </c>
      <c r="M195" t="s">
        <v>50</v>
      </c>
      <c r="N195">
        <v>14</v>
      </c>
      <c r="O195" t="str">
        <f t="shared" ref="O195:O258" si="3">IF(N195&gt;3,"Extended","Normal")</f>
        <v>Extended</v>
      </c>
    </row>
    <row r="196" spans="1:15" x14ac:dyDescent="0.3">
      <c r="A196" t="s">
        <v>440</v>
      </c>
      <c r="B196" t="s">
        <v>441</v>
      </c>
      <c r="C196">
        <v>14</v>
      </c>
      <c r="D196" t="s">
        <v>16</v>
      </c>
      <c r="E196" s="1">
        <v>45580</v>
      </c>
      <c r="F196" s="1">
        <v>45594</v>
      </c>
      <c r="G196" t="s">
        <v>43</v>
      </c>
      <c r="H196" t="s">
        <v>27</v>
      </c>
      <c r="I196">
        <v>6976</v>
      </c>
      <c r="J196" t="s">
        <v>19</v>
      </c>
      <c r="K196" t="s">
        <v>20</v>
      </c>
      <c r="L196" t="s">
        <v>59</v>
      </c>
      <c r="M196" t="s">
        <v>29</v>
      </c>
      <c r="N196">
        <v>14</v>
      </c>
      <c r="O196" t="str">
        <f t="shared" si="3"/>
        <v>Extended</v>
      </c>
    </row>
    <row r="197" spans="1:15" x14ac:dyDescent="0.3">
      <c r="A197" t="s">
        <v>442</v>
      </c>
      <c r="B197" t="s">
        <v>443</v>
      </c>
      <c r="C197">
        <v>67</v>
      </c>
      <c r="D197" t="s">
        <v>25</v>
      </c>
      <c r="E197" s="1">
        <v>45488</v>
      </c>
      <c r="F197" s="1">
        <v>45502</v>
      </c>
      <c r="G197" t="s">
        <v>32</v>
      </c>
      <c r="H197" t="s">
        <v>27</v>
      </c>
      <c r="I197">
        <v>3221</v>
      </c>
      <c r="J197" t="s">
        <v>34</v>
      </c>
      <c r="K197" t="s">
        <v>44</v>
      </c>
      <c r="L197" t="s">
        <v>21</v>
      </c>
      <c r="M197" t="s">
        <v>50</v>
      </c>
      <c r="N197">
        <v>14</v>
      </c>
      <c r="O197" t="str">
        <f t="shared" si="3"/>
        <v>Extended</v>
      </c>
    </row>
    <row r="198" spans="1:15" x14ac:dyDescent="0.3">
      <c r="A198" t="s">
        <v>444</v>
      </c>
      <c r="B198" t="s">
        <v>445</v>
      </c>
      <c r="C198">
        <v>37</v>
      </c>
      <c r="D198" t="s">
        <v>25</v>
      </c>
      <c r="E198" s="1">
        <v>45786</v>
      </c>
      <c r="F198" s="1">
        <v>45800</v>
      </c>
      <c r="G198" t="s">
        <v>43</v>
      </c>
      <c r="H198" t="s">
        <v>58</v>
      </c>
      <c r="I198">
        <v>1059</v>
      </c>
      <c r="J198" t="s">
        <v>34</v>
      </c>
      <c r="K198" t="s">
        <v>54</v>
      </c>
      <c r="L198" t="s">
        <v>45</v>
      </c>
      <c r="M198" t="s">
        <v>29</v>
      </c>
      <c r="N198">
        <v>14</v>
      </c>
      <c r="O198" t="str">
        <f t="shared" si="3"/>
        <v>Extended</v>
      </c>
    </row>
    <row r="199" spans="1:15" x14ac:dyDescent="0.3">
      <c r="A199" t="s">
        <v>446</v>
      </c>
      <c r="B199" t="s">
        <v>447</v>
      </c>
      <c r="C199">
        <v>6</v>
      </c>
      <c r="D199" t="s">
        <v>16</v>
      </c>
      <c r="E199" s="1">
        <v>45462</v>
      </c>
      <c r="F199" s="1">
        <v>45463</v>
      </c>
      <c r="G199" t="s">
        <v>32</v>
      </c>
      <c r="H199" t="s">
        <v>48</v>
      </c>
      <c r="I199">
        <v>9951</v>
      </c>
      <c r="J199" t="s">
        <v>19</v>
      </c>
      <c r="K199" t="s">
        <v>44</v>
      </c>
      <c r="L199" t="s">
        <v>59</v>
      </c>
      <c r="M199" t="s">
        <v>22</v>
      </c>
      <c r="N199">
        <v>1</v>
      </c>
      <c r="O199" t="str">
        <f t="shared" si="3"/>
        <v>Normal</v>
      </c>
    </row>
    <row r="200" spans="1:15" x14ac:dyDescent="0.3">
      <c r="A200" t="s">
        <v>448</v>
      </c>
      <c r="B200" t="s">
        <v>449</v>
      </c>
      <c r="C200">
        <v>11</v>
      </c>
      <c r="D200" t="s">
        <v>16</v>
      </c>
      <c r="E200" s="1">
        <v>45741</v>
      </c>
      <c r="F200" s="1">
        <v>45748</v>
      </c>
      <c r="G200" t="s">
        <v>26</v>
      </c>
      <c r="H200" t="s">
        <v>58</v>
      </c>
      <c r="I200">
        <v>9281</v>
      </c>
      <c r="J200" t="s">
        <v>19</v>
      </c>
      <c r="K200" t="s">
        <v>133</v>
      </c>
      <c r="L200" t="s">
        <v>78</v>
      </c>
      <c r="M200" t="s">
        <v>50</v>
      </c>
      <c r="N200">
        <v>7</v>
      </c>
      <c r="O200" t="str">
        <f t="shared" si="3"/>
        <v>Extended</v>
      </c>
    </row>
    <row r="201" spans="1:15" x14ac:dyDescent="0.3">
      <c r="A201" t="s">
        <v>450</v>
      </c>
      <c r="B201" t="s">
        <v>451</v>
      </c>
      <c r="C201">
        <v>70</v>
      </c>
      <c r="D201" t="s">
        <v>16</v>
      </c>
      <c r="E201" s="1">
        <v>45796</v>
      </c>
      <c r="F201" s="1">
        <v>45799</v>
      </c>
      <c r="G201" t="s">
        <v>94</v>
      </c>
      <c r="H201" t="s">
        <v>89</v>
      </c>
      <c r="I201">
        <v>8180</v>
      </c>
      <c r="J201" t="s">
        <v>19</v>
      </c>
      <c r="K201" t="s">
        <v>54</v>
      </c>
      <c r="L201" t="s">
        <v>21</v>
      </c>
      <c r="M201" t="s">
        <v>50</v>
      </c>
      <c r="N201">
        <v>3</v>
      </c>
      <c r="O201" t="str">
        <f t="shared" si="3"/>
        <v>Normal</v>
      </c>
    </row>
    <row r="202" spans="1:15" x14ac:dyDescent="0.3">
      <c r="A202" t="s">
        <v>452</v>
      </c>
      <c r="B202" t="s">
        <v>453</v>
      </c>
      <c r="C202">
        <v>78</v>
      </c>
      <c r="D202" t="s">
        <v>16</v>
      </c>
      <c r="E202" s="1">
        <v>45761</v>
      </c>
      <c r="F202" s="1">
        <v>45763</v>
      </c>
      <c r="G202" t="s">
        <v>66</v>
      </c>
      <c r="H202" t="s">
        <v>58</v>
      </c>
      <c r="I202">
        <v>9787</v>
      </c>
      <c r="J202" t="s">
        <v>19</v>
      </c>
      <c r="K202" t="s">
        <v>49</v>
      </c>
      <c r="L202" t="s">
        <v>36</v>
      </c>
      <c r="M202" t="s">
        <v>50</v>
      </c>
      <c r="N202">
        <v>2</v>
      </c>
      <c r="O202" t="str">
        <f t="shared" si="3"/>
        <v>Normal</v>
      </c>
    </row>
    <row r="203" spans="1:15" x14ac:dyDescent="0.3">
      <c r="A203" t="s">
        <v>454</v>
      </c>
      <c r="B203" t="s">
        <v>455</v>
      </c>
      <c r="C203">
        <v>83</v>
      </c>
      <c r="D203" t="s">
        <v>16</v>
      </c>
      <c r="E203" s="1">
        <v>45512</v>
      </c>
      <c r="F203" s="1">
        <v>45523</v>
      </c>
      <c r="G203" t="s">
        <v>43</v>
      </c>
      <c r="H203" t="s">
        <v>27</v>
      </c>
      <c r="I203">
        <v>3283</v>
      </c>
      <c r="J203" t="s">
        <v>34</v>
      </c>
      <c r="K203" t="s">
        <v>133</v>
      </c>
      <c r="L203" t="s">
        <v>45</v>
      </c>
      <c r="M203" t="s">
        <v>50</v>
      </c>
      <c r="N203">
        <v>11</v>
      </c>
      <c r="O203" t="str">
        <f t="shared" si="3"/>
        <v>Extended</v>
      </c>
    </row>
    <row r="204" spans="1:15" x14ac:dyDescent="0.3">
      <c r="A204" t="s">
        <v>456</v>
      </c>
      <c r="B204" t="s">
        <v>457</v>
      </c>
      <c r="C204">
        <v>62</v>
      </c>
      <c r="D204" t="s">
        <v>16</v>
      </c>
      <c r="E204" s="1">
        <v>45786</v>
      </c>
      <c r="F204" s="1">
        <v>45788</v>
      </c>
      <c r="G204" t="s">
        <v>17</v>
      </c>
      <c r="H204" t="s">
        <v>73</v>
      </c>
      <c r="I204">
        <v>4417</v>
      </c>
      <c r="J204" t="s">
        <v>19</v>
      </c>
      <c r="K204" t="s">
        <v>54</v>
      </c>
      <c r="L204" t="s">
        <v>78</v>
      </c>
      <c r="M204" t="s">
        <v>22</v>
      </c>
      <c r="N204">
        <v>2</v>
      </c>
      <c r="O204" t="str">
        <f t="shared" si="3"/>
        <v>Normal</v>
      </c>
    </row>
    <row r="205" spans="1:15" x14ac:dyDescent="0.3">
      <c r="A205" t="s">
        <v>458</v>
      </c>
      <c r="B205" t="s">
        <v>459</v>
      </c>
      <c r="C205">
        <v>53</v>
      </c>
      <c r="D205" t="s">
        <v>25</v>
      </c>
      <c r="E205" s="1">
        <v>45717</v>
      </c>
      <c r="F205" s="1">
        <v>45719</v>
      </c>
      <c r="G205" t="s">
        <v>66</v>
      </c>
      <c r="H205" t="s">
        <v>27</v>
      </c>
      <c r="I205">
        <v>2623</v>
      </c>
      <c r="J205" t="s">
        <v>34</v>
      </c>
      <c r="K205" t="s">
        <v>35</v>
      </c>
      <c r="L205" t="s">
        <v>78</v>
      </c>
      <c r="M205" t="s">
        <v>29</v>
      </c>
      <c r="N205">
        <v>2</v>
      </c>
      <c r="O205" t="str">
        <f t="shared" si="3"/>
        <v>Normal</v>
      </c>
    </row>
    <row r="206" spans="1:15" x14ac:dyDescent="0.3">
      <c r="A206" t="s">
        <v>460</v>
      </c>
      <c r="B206" t="s">
        <v>461</v>
      </c>
      <c r="C206">
        <v>43</v>
      </c>
      <c r="D206" t="s">
        <v>25</v>
      </c>
      <c r="E206" s="1">
        <v>45800</v>
      </c>
      <c r="F206" s="1">
        <v>45801</v>
      </c>
      <c r="G206" t="s">
        <v>32</v>
      </c>
      <c r="H206" t="s">
        <v>18</v>
      </c>
      <c r="I206">
        <v>4785</v>
      </c>
      <c r="J206" t="s">
        <v>34</v>
      </c>
      <c r="K206" t="s">
        <v>35</v>
      </c>
      <c r="L206" t="s">
        <v>45</v>
      </c>
      <c r="M206" t="s">
        <v>22</v>
      </c>
      <c r="N206">
        <v>1</v>
      </c>
      <c r="O206" t="str">
        <f t="shared" si="3"/>
        <v>Normal</v>
      </c>
    </row>
    <row r="207" spans="1:15" x14ac:dyDescent="0.3">
      <c r="A207" t="s">
        <v>462</v>
      </c>
      <c r="B207" t="s">
        <v>463</v>
      </c>
      <c r="C207">
        <v>56</v>
      </c>
      <c r="D207" t="s">
        <v>25</v>
      </c>
      <c r="E207" s="1">
        <v>45595</v>
      </c>
      <c r="F207" s="1">
        <v>45605</v>
      </c>
      <c r="G207" t="s">
        <v>62</v>
      </c>
      <c r="H207" t="s">
        <v>27</v>
      </c>
      <c r="I207">
        <v>5175</v>
      </c>
      <c r="J207" t="s">
        <v>19</v>
      </c>
      <c r="K207" t="s">
        <v>20</v>
      </c>
      <c r="L207" t="s">
        <v>55</v>
      </c>
      <c r="M207" t="s">
        <v>22</v>
      </c>
      <c r="N207">
        <v>10</v>
      </c>
      <c r="O207" t="str">
        <f t="shared" si="3"/>
        <v>Extended</v>
      </c>
    </row>
    <row r="208" spans="1:15" x14ac:dyDescent="0.3">
      <c r="A208" t="s">
        <v>464</v>
      </c>
      <c r="B208" t="s">
        <v>465</v>
      </c>
      <c r="C208">
        <v>54</v>
      </c>
      <c r="D208" t="s">
        <v>16</v>
      </c>
      <c r="E208" s="1">
        <v>45806</v>
      </c>
      <c r="F208" s="1">
        <v>45818</v>
      </c>
      <c r="G208" t="s">
        <v>66</v>
      </c>
      <c r="H208" t="s">
        <v>39</v>
      </c>
      <c r="I208">
        <v>1832</v>
      </c>
      <c r="J208" t="s">
        <v>19</v>
      </c>
      <c r="K208" t="s">
        <v>49</v>
      </c>
      <c r="L208" t="s">
        <v>78</v>
      </c>
      <c r="M208" t="s">
        <v>29</v>
      </c>
      <c r="N208">
        <v>12</v>
      </c>
      <c r="O208" t="str">
        <f t="shared" si="3"/>
        <v>Extended</v>
      </c>
    </row>
    <row r="209" spans="1:15" x14ac:dyDescent="0.3">
      <c r="A209" t="s">
        <v>466</v>
      </c>
      <c r="B209" t="s">
        <v>467</v>
      </c>
      <c r="C209">
        <v>10</v>
      </c>
      <c r="D209" t="s">
        <v>25</v>
      </c>
      <c r="E209" s="1">
        <v>45510</v>
      </c>
      <c r="F209" s="1">
        <v>45512</v>
      </c>
      <c r="G209" t="s">
        <v>17</v>
      </c>
      <c r="H209" t="s">
        <v>89</v>
      </c>
      <c r="I209">
        <v>8336</v>
      </c>
      <c r="J209" t="s">
        <v>19</v>
      </c>
      <c r="K209" t="s">
        <v>133</v>
      </c>
      <c r="L209" t="s">
        <v>78</v>
      </c>
      <c r="M209" t="s">
        <v>22</v>
      </c>
      <c r="N209">
        <v>2</v>
      </c>
      <c r="O209" t="str">
        <f t="shared" si="3"/>
        <v>Normal</v>
      </c>
    </row>
    <row r="210" spans="1:15" x14ac:dyDescent="0.3">
      <c r="A210" t="s">
        <v>468</v>
      </c>
      <c r="B210" t="s">
        <v>469</v>
      </c>
      <c r="C210">
        <v>74</v>
      </c>
      <c r="D210" t="s">
        <v>16</v>
      </c>
      <c r="E210" s="1">
        <v>45640</v>
      </c>
      <c r="F210" s="1">
        <v>45643</v>
      </c>
      <c r="G210" t="s">
        <v>62</v>
      </c>
      <c r="H210" t="s">
        <v>48</v>
      </c>
      <c r="I210">
        <v>6385</v>
      </c>
      <c r="J210" t="s">
        <v>19</v>
      </c>
      <c r="K210" t="s">
        <v>44</v>
      </c>
      <c r="L210" t="s">
        <v>45</v>
      </c>
      <c r="M210" t="s">
        <v>22</v>
      </c>
      <c r="N210">
        <v>3</v>
      </c>
      <c r="O210" t="str">
        <f t="shared" si="3"/>
        <v>Normal</v>
      </c>
    </row>
    <row r="211" spans="1:15" x14ac:dyDescent="0.3">
      <c r="A211" t="s">
        <v>470</v>
      </c>
      <c r="B211" t="s">
        <v>471</v>
      </c>
      <c r="C211">
        <v>31</v>
      </c>
      <c r="D211" t="s">
        <v>25</v>
      </c>
      <c r="E211" s="1">
        <v>45598</v>
      </c>
      <c r="F211" s="1">
        <v>45599</v>
      </c>
      <c r="G211" t="s">
        <v>62</v>
      </c>
      <c r="H211" t="s">
        <v>73</v>
      </c>
      <c r="I211">
        <v>4661</v>
      </c>
      <c r="J211" t="s">
        <v>19</v>
      </c>
      <c r="K211" t="s">
        <v>54</v>
      </c>
      <c r="L211" t="s">
        <v>45</v>
      </c>
      <c r="M211" t="s">
        <v>29</v>
      </c>
      <c r="N211">
        <v>1</v>
      </c>
      <c r="O211" t="str">
        <f t="shared" si="3"/>
        <v>Normal</v>
      </c>
    </row>
    <row r="212" spans="1:15" x14ac:dyDescent="0.3">
      <c r="A212" t="s">
        <v>472</v>
      </c>
      <c r="B212" t="s">
        <v>473</v>
      </c>
      <c r="C212">
        <v>34</v>
      </c>
      <c r="D212" t="s">
        <v>16</v>
      </c>
      <c r="E212" s="1">
        <v>45665</v>
      </c>
      <c r="F212" s="1">
        <v>45669</v>
      </c>
      <c r="G212" t="s">
        <v>32</v>
      </c>
      <c r="H212" t="s">
        <v>27</v>
      </c>
      <c r="I212">
        <v>9332</v>
      </c>
      <c r="J212" t="s">
        <v>34</v>
      </c>
      <c r="K212" t="s">
        <v>49</v>
      </c>
      <c r="L212" t="s">
        <v>78</v>
      </c>
      <c r="M212" t="s">
        <v>22</v>
      </c>
      <c r="N212">
        <v>4</v>
      </c>
      <c r="O212" t="str">
        <f t="shared" si="3"/>
        <v>Extended</v>
      </c>
    </row>
    <row r="213" spans="1:15" x14ac:dyDescent="0.3">
      <c r="A213" t="s">
        <v>474</v>
      </c>
      <c r="B213" t="s">
        <v>475</v>
      </c>
      <c r="C213">
        <v>59</v>
      </c>
      <c r="D213" t="s">
        <v>16</v>
      </c>
      <c r="E213" s="1">
        <v>45696</v>
      </c>
      <c r="F213" s="1">
        <v>45701</v>
      </c>
      <c r="G213" t="s">
        <v>17</v>
      </c>
      <c r="H213" t="s">
        <v>89</v>
      </c>
      <c r="I213">
        <v>2959</v>
      </c>
      <c r="J213" t="s">
        <v>34</v>
      </c>
      <c r="K213" t="s">
        <v>49</v>
      </c>
      <c r="L213" t="s">
        <v>21</v>
      </c>
      <c r="M213" t="s">
        <v>22</v>
      </c>
      <c r="N213">
        <v>5</v>
      </c>
      <c r="O213" t="str">
        <f t="shared" si="3"/>
        <v>Extended</v>
      </c>
    </row>
    <row r="214" spans="1:15" x14ac:dyDescent="0.3">
      <c r="A214" t="s">
        <v>476</v>
      </c>
      <c r="B214" t="s">
        <v>477</v>
      </c>
      <c r="C214">
        <v>52</v>
      </c>
      <c r="D214" t="s">
        <v>16</v>
      </c>
      <c r="E214" s="1">
        <v>45609</v>
      </c>
      <c r="F214" s="1">
        <v>45617</v>
      </c>
      <c r="G214" t="s">
        <v>32</v>
      </c>
      <c r="H214" t="s">
        <v>48</v>
      </c>
      <c r="I214">
        <v>9929</v>
      </c>
      <c r="J214" t="s">
        <v>19</v>
      </c>
      <c r="K214" t="s">
        <v>35</v>
      </c>
      <c r="L214" t="s">
        <v>55</v>
      </c>
      <c r="M214" t="s">
        <v>50</v>
      </c>
      <c r="N214">
        <v>8</v>
      </c>
      <c r="O214" t="str">
        <f t="shared" si="3"/>
        <v>Extended</v>
      </c>
    </row>
    <row r="215" spans="1:15" x14ac:dyDescent="0.3">
      <c r="A215" t="s">
        <v>478</v>
      </c>
      <c r="B215" t="s">
        <v>479</v>
      </c>
      <c r="C215">
        <v>42</v>
      </c>
      <c r="D215" t="s">
        <v>25</v>
      </c>
      <c r="E215" s="1">
        <v>45536</v>
      </c>
      <c r="F215" s="1">
        <v>45542</v>
      </c>
      <c r="G215" t="s">
        <v>32</v>
      </c>
      <c r="H215" t="s">
        <v>58</v>
      </c>
      <c r="I215">
        <v>1511</v>
      </c>
      <c r="J215" t="s">
        <v>19</v>
      </c>
      <c r="K215" t="s">
        <v>133</v>
      </c>
      <c r="L215" t="s">
        <v>59</v>
      </c>
      <c r="M215" t="s">
        <v>50</v>
      </c>
      <c r="N215">
        <v>6</v>
      </c>
      <c r="O215" t="str">
        <f t="shared" si="3"/>
        <v>Extended</v>
      </c>
    </row>
    <row r="216" spans="1:15" x14ac:dyDescent="0.3">
      <c r="A216" t="s">
        <v>480</v>
      </c>
      <c r="B216" t="s">
        <v>481</v>
      </c>
      <c r="C216">
        <v>39</v>
      </c>
      <c r="D216" t="s">
        <v>25</v>
      </c>
      <c r="E216" s="1">
        <v>45799</v>
      </c>
      <c r="F216" s="1">
        <v>45805</v>
      </c>
      <c r="G216" t="s">
        <v>66</v>
      </c>
      <c r="H216" t="s">
        <v>73</v>
      </c>
      <c r="I216">
        <v>6368</v>
      </c>
      <c r="J216" t="s">
        <v>19</v>
      </c>
      <c r="K216" t="s">
        <v>35</v>
      </c>
      <c r="L216" t="s">
        <v>36</v>
      </c>
      <c r="M216" t="s">
        <v>29</v>
      </c>
      <c r="N216">
        <v>6</v>
      </c>
      <c r="O216" t="str">
        <f t="shared" si="3"/>
        <v>Extended</v>
      </c>
    </row>
    <row r="217" spans="1:15" x14ac:dyDescent="0.3">
      <c r="A217" t="s">
        <v>482</v>
      </c>
      <c r="B217" t="s">
        <v>483</v>
      </c>
      <c r="C217">
        <v>79</v>
      </c>
      <c r="D217" t="s">
        <v>16</v>
      </c>
      <c r="E217" s="1">
        <v>45789</v>
      </c>
      <c r="F217" s="1">
        <v>45803</v>
      </c>
      <c r="G217" t="s">
        <v>62</v>
      </c>
      <c r="H217" t="s">
        <v>48</v>
      </c>
      <c r="I217">
        <v>4360</v>
      </c>
      <c r="J217" t="s">
        <v>19</v>
      </c>
      <c r="K217" t="s">
        <v>54</v>
      </c>
      <c r="L217" t="s">
        <v>55</v>
      </c>
      <c r="M217" t="s">
        <v>50</v>
      </c>
      <c r="N217">
        <v>14</v>
      </c>
      <c r="O217" t="str">
        <f t="shared" si="3"/>
        <v>Extended</v>
      </c>
    </row>
    <row r="218" spans="1:15" x14ac:dyDescent="0.3">
      <c r="A218" t="s">
        <v>484</v>
      </c>
      <c r="B218" t="s">
        <v>485</v>
      </c>
      <c r="C218">
        <v>50</v>
      </c>
      <c r="D218" t="s">
        <v>25</v>
      </c>
      <c r="E218" s="1">
        <v>45740</v>
      </c>
      <c r="F218" s="1">
        <v>45743</v>
      </c>
      <c r="G218" t="s">
        <v>26</v>
      </c>
      <c r="H218" t="s">
        <v>39</v>
      </c>
      <c r="I218">
        <v>2883</v>
      </c>
      <c r="J218" t="s">
        <v>19</v>
      </c>
      <c r="K218" t="s">
        <v>54</v>
      </c>
      <c r="L218" t="s">
        <v>21</v>
      </c>
      <c r="M218" t="s">
        <v>29</v>
      </c>
      <c r="N218">
        <v>3</v>
      </c>
      <c r="O218" t="str">
        <f t="shared" si="3"/>
        <v>Normal</v>
      </c>
    </row>
    <row r="219" spans="1:15" x14ac:dyDescent="0.3">
      <c r="A219" t="s">
        <v>486</v>
      </c>
      <c r="B219" t="s">
        <v>487</v>
      </c>
      <c r="C219">
        <v>13</v>
      </c>
      <c r="D219" t="s">
        <v>25</v>
      </c>
      <c r="E219" s="1">
        <v>45710</v>
      </c>
      <c r="F219" s="1">
        <v>45721</v>
      </c>
      <c r="G219" t="s">
        <v>66</v>
      </c>
      <c r="H219" t="s">
        <v>39</v>
      </c>
      <c r="I219">
        <v>9814</v>
      </c>
      <c r="J219" t="s">
        <v>34</v>
      </c>
      <c r="K219" t="s">
        <v>40</v>
      </c>
      <c r="L219" t="s">
        <v>55</v>
      </c>
      <c r="M219" t="s">
        <v>50</v>
      </c>
      <c r="N219">
        <v>11</v>
      </c>
      <c r="O219" t="str">
        <f t="shared" si="3"/>
        <v>Extended</v>
      </c>
    </row>
    <row r="220" spans="1:15" x14ac:dyDescent="0.3">
      <c r="A220" t="s">
        <v>488</v>
      </c>
      <c r="B220" t="s">
        <v>489</v>
      </c>
      <c r="C220">
        <v>33</v>
      </c>
      <c r="D220" t="s">
        <v>16</v>
      </c>
      <c r="E220" s="1">
        <v>45804</v>
      </c>
      <c r="F220" s="1">
        <v>45806</v>
      </c>
      <c r="G220" t="s">
        <v>62</v>
      </c>
      <c r="H220" t="s">
        <v>18</v>
      </c>
      <c r="I220">
        <v>8802</v>
      </c>
      <c r="J220" t="s">
        <v>19</v>
      </c>
      <c r="K220" t="s">
        <v>35</v>
      </c>
      <c r="L220" t="s">
        <v>45</v>
      </c>
      <c r="M220" t="s">
        <v>50</v>
      </c>
      <c r="N220">
        <v>2</v>
      </c>
      <c r="O220" t="str">
        <f t="shared" si="3"/>
        <v>Normal</v>
      </c>
    </row>
    <row r="221" spans="1:15" x14ac:dyDescent="0.3">
      <c r="A221" t="s">
        <v>490</v>
      </c>
      <c r="B221" t="s">
        <v>491</v>
      </c>
      <c r="C221">
        <v>59</v>
      </c>
      <c r="D221" t="s">
        <v>25</v>
      </c>
      <c r="E221" s="1">
        <v>45581</v>
      </c>
      <c r="F221" s="1">
        <v>45594</v>
      </c>
      <c r="G221" t="s">
        <v>62</v>
      </c>
      <c r="H221" t="s">
        <v>89</v>
      </c>
      <c r="I221">
        <v>8596</v>
      </c>
      <c r="J221" t="s">
        <v>34</v>
      </c>
      <c r="K221" t="s">
        <v>20</v>
      </c>
      <c r="L221" t="s">
        <v>28</v>
      </c>
      <c r="M221" t="s">
        <v>50</v>
      </c>
      <c r="N221">
        <v>13</v>
      </c>
      <c r="O221" t="str">
        <f t="shared" si="3"/>
        <v>Extended</v>
      </c>
    </row>
    <row r="222" spans="1:15" x14ac:dyDescent="0.3">
      <c r="A222" t="s">
        <v>492</v>
      </c>
      <c r="B222" t="s">
        <v>493</v>
      </c>
      <c r="C222">
        <v>73</v>
      </c>
      <c r="D222" t="s">
        <v>16</v>
      </c>
      <c r="E222" s="1">
        <v>45756</v>
      </c>
      <c r="F222" s="1">
        <v>45770</v>
      </c>
      <c r="G222" t="s">
        <v>32</v>
      </c>
      <c r="H222" t="s">
        <v>73</v>
      </c>
      <c r="I222">
        <v>5972</v>
      </c>
      <c r="J222" t="s">
        <v>19</v>
      </c>
      <c r="K222" t="s">
        <v>44</v>
      </c>
      <c r="L222" t="s">
        <v>59</v>
      </c>
      <c r="M222" t="s">
        <v>29</v>
      </c>
      <c r="N222">
        <v>14</v>
      </c>
      <c r="O222" t="str">
        <f t="shared" si="3"/>
        <v>Extended</v>
      </c>
    </row>
    <row r="223" spans="1:15" x14ac:dyDescent="0.3">
      <c r="A223" t="s">
        <v>494</v>
      </c>
      <c r="B223" t="s">
        <v>495</v>
      </c>
      <c r="C223">
        <v>88</v>
      </c>
      <c r="D223" t="s">
        <v>16</v>
      </c>
      <c r="E223" s="1">
        <v>45452</v>
      </c>
      <c r="F223" s="1">
        <v>45457</v>
      </c>
      <c r="G223" t="s">
        <v>43</v>
      </c>
      <c r="H223" t="s">
        <v>48</v>
      </c>
      <c r="I223">
        <v>5482</v>
      </c>
      <c r="J223" t="s">
        <v>34</v>
      </c>
      <c r="K223" t="s">
        <v>20</v>
      </c>
      <c r="L223" t="s">
        <v>28</v>
      </c>
      <c r="M223" t="s">
        <v>22</v>
      </c>
      <c r="N223">
        <v>5</v>
      </c>
      <c r="O223" t="str">
        <f t="shared" si="3"/>
        <v>Extended</v>
      </c>
    </row>
    <row r="224" spans="1:15" x14ac:dyDescent="0.3">
      <c r="A224" t="s">
        <v>496</v>
      </c>
      <c r="B224" t="s">
        <v>497</v>
      </c>
      <c r="C224">
        <v>62</v>
      </c>
      <c r="D224" t="s">
        <v>16</v>
      </c>
      <c r="E224" s="1">
        <v>45747</v>
      </c>
      <c r="F224" s="1">
        <v>45758</v>
      </c>
      <c r="G224" t="s">
        <v>66</v>
      </c>
      <c r="H224" t="s">
        <v>53</v>
      </c>
      <c r="I224">
        <v>3590</v>
      </c>
      <c r="J224" t="s">
        <v>34</v>
      </c>
      <c r="K224" t="s">
        <v>35</v>
      </c>
      <c r="L224" t="s">
        <v>21</v>
      </c>
      <c r="M224" t="s">
        <v>22</v>
      </c>
      <c r="N224">
        <v>11</v>
      </c>
      <c r="O224" t="str">
        <f t="shared" si="3"/>
        <v>Extended</v>
      </c>
    </row>
    <row r="225" spans="1:15" x14ac:dyDescent="0.3">
      <c r="A225" t="s">
        <v>498</v>
      </c>
      <c r="B225" t="s">
        <v>499</v>
      </c>
      <c r="C225">
        <v>74</v>
      </c>
      <c r="D225" t="s">
        <v>25</v>
      </c>
      <c r="E225" s="1">
        <v>45506</v>
      </c>
      <c r="F225" s="1">
        <v>45515</v>
      </c>
      <c r="G225" t="s">
        <v>94</v>
      </c>
      <c r="H225" t="s">
        <v>18</v>
      </c>
      <c r="I225">
        <v>3734</v>
      </c>
      <c r="J225" t="s">
        <v>19</v>
      </c>
      <c r="K225" t="s">
        <v>40</v>
      </c>
      <c r="L225" t="s">
        <v>45</v>
      </c>
      <c r="M225" t="s">
        <v>29</v>
      </c>
      <c r="N225">
        <v>9</v>
      </c>
      <c r="O225" t="str">
        <f t="shared" si="3"/>
        <v>Extended</v>
      </c>
    </row>
    <row r="226" spans="1:15" x14ac:dyDescent="0.3">
      <c r="A226" t="s">
        <v>500</v>
      </c>
      <c r="B226" t="s">
        <v>501</v>
      </c>
      <c r="C226">
        <v>66</v>
      </c>
      <c r="D226" t="s">
        <v>25</v>
      </c>
      <c r="E226" s="1">
        <v>45693</v>
      </c>
      <c r="F226" s="1">
        <v>45696</v>
      </c>
      <c r="G226" t="s">
        <v>32</v>
      </c>
      <c r="H226" t="s">
        <v>33</v>
      </c>
      <c r="I226">
        <v>2470</v>
      </c>
      <c r="J226" t="s">
        <v>34</v>
      </c>
      <c r="K226" t="s">
        <v>20</v>
      </c>
      <c r="L226" t="s">
        <v>36</v>
      </c>
      <c r="M226" t="s">
        <v>50</v>
      </c>
      <c r="N226">
        <v>3</v>
      </c>
      <c r="O226" t="str">
        <f t="shared" si="3"/>
        <v>Normal</v>
      </c>
    </row>
    <row r="227" spans="1:15" x14ac:dyDescent="0.3">
      <c r="A227" t="s">
        <v>502</v>
      </c>
      <c r="B227" t="s">
        <v>503</v>
      </c>
      <c r="C227">
        <v>88</v>
      </c>
      <c r="D227" t="s">
        <v>16</v>
      </c>
      <c r="E227" s="1">
        <v>45685</v>
      </c>
      <c r="F227" s="1">
        <v>45691</v>
      </c>
      <c r="G227" t="s">
        <v>66</v>
      </c>
      <c r="H227" t="s">
        <v>73</v>
      </c>
      <c r="I227">
        <v>4423</v>
      </c>
      <c r="J227" t="s">
        <v>19</v>
      </c>
      <c r="K227" t="s">
        <v>40</v>
      </c>
      <c r="L227" t="s">
        <v>78</v>
      </c>
      <c r="M227" t="s">
        <v>22</v>
      </c>
      <c r="N227">
        <v>6</v>
      </c>
      <c r="O227" t="str">
        <f t="shared" si="3"/>
        <v>Extended</v>
      </c>
    </row>
    <row r="228" spans="1:15" x14ac:dyDescent="0.3">
      <c r="A228" t="s">
        <v>504</v>
      </c>
      <c r="B228" t="s">
        <v>505</v>
      </c>
      <c r="C228">
        <v>38</v>
      </c>
      <c r="D228" t="s">
        <v>16</v>
      </c>
      <c r="E228" s="1">
        <v>45594</v>
      </c>
      <c r="F228" s="1">
        <v>45602</v>
      </c>
      <c r="G228" t="s">
        <v>62</v>
      </c>
      <c r="H228" t="s">
        <v>58</v>
      </c>
      <c r="I228">
        <v>9884</v>
      </c>
      <c r="J228" t="s">
        <v>34</v>
      </c>
      <c r="K228" t="s">
        <v>133</v>
      </c>
      <c r="L228" t="s">
        <v>45</v>
      </c>
      <c r="M228" t="s">
        <v>22</v>
      </c>
      <c r="N228">
        <v>8</v>
      </c>
      <c r="O228" t="str">
        <f t="shared" si="3"/>
        <v>Extended</v>
      </c>
    </row>
    <row r="229" spans="1:15" x14ac:dyDescent="0.3">
      <c r="A229" t="s">
        <v>506</v>
      </c>
      <c r="B229" t="s">
        <v>507</v>
      </c>
      <c r="C229">
        <v>46</v>
      </c>
      <c r="D229" t="s">
        <v>25</v>
      </c>
      <c r="E229" s="1">
        <v>45639</v>
      </c>
      <c r="F229" s="1">
        <v>45651</v>
      </c>
      <c r="G229" t="s">
        <v>66</v>
      </c>
      <c r="H229" t="s">
        <v>27</v>
      </c>
      <c r="I229">
        <v>1313</v>
      </c>
      <c r="J229" t="s">
        <v>34</v>
      </c>
      <c r="K229" t="s">
        <v>40</v>
      </c>
      <c r="L229" t="s">
        <v>59</v>
      </c>
      <c r="M229" t="s">
        <v>29</v>
      </c>
      <c r="N229">
        <v>12</v>
      </c>
      <c r="O229" t="str">
        <f t="shared" si="3"/>
        <v>Extended</v>
      </c>
    </row>
    <row r="230" spans="1:15" x14ac:dyDescent="0.3">
      <c r="A230" t="s">
        <v>508</v>
      </c>
      <c r="B230" t="s">
        <v>509</v>
      </c>
      <c r="C230">
        <v>20</v>
      </c>
      <c r="D230" t="s">
        <v>25</v>
      </c>
      <c r="E230" s="1">
        <v>45714</v>
      </c>
      <c r="F230" s="1">
        <v>45728</v>
      </c>
      <c r="G230" t="s">
        <v>62</v>
      </c>
      <c r="H230" t="s">
        <v>89</v>
      </c>
      <c r="I230">
        <v>8440</v>
      </c>
      <c r="J230" t="s">
        <v>34</v>
      </c>
      <c r="K230" t="s">
        <v>133</v>
      </c>
      <c r="L230" t="s">
        <v>28</v>
      </c>
      <c r="M230" t="s">
        <v>22</v>
      </c>
      <c r="N230">
        <v>14</v>
      </c>
      <c r="O230" t="str">
        <f t="shared" si="3"/>
        <v>Extended</v>
      </c>
    </row>
    <row r="231" spans="1:15" x14ac:dyDescent="0.3">
      <c r="A231" t="s">
        <v>510</v>
      </c>
      <c r="B231" t="s">
        <v>511</v>
      </c>
      <c r="C231">
        <v>85</v>
      </c>
      <c r="D231" t="s">
        <v>25</v>
      </c>
      <c r="E231" s="1">
        <v>45484</v>
      </c>
      <c r="F231" s="1">
        <v>45494</v>
      </c>
      <c r="G231" t="s">
        <v>94</v>
      </c>
      <c r="H231" t="s">
        <v>27</v>
      </c>
      <c r="I231">
        <v>1753</v>
      </c>
      <c r="J231" t="s">
        <v>19</v>
      </c>
      <c r="K231" t="s">
        <v>40</v>
      </c>
      <c r="L231" t="s">
        <v>45</v>
      </c>
      <c r="M231" t="s">
        <v>29</v>
      </c>
      <c r="N231">
        <v>10</v>
      </c>
      <c r="O231" t="str">
        <f t="shared" si="3"/>
        <v>Extended</v>
      </c>
    </row>
    <row r="232" spans="1:15" x14ac:dyDescent="0.3">
      <c r="A232" t="s">
        <v>512</v>
      </c>
      <c r="B232" t="s">
        <v>513</v>
      </c>
      <c r="C232">
        <v>61</v>
      </c>
      <c r="D232" t="s">
        <v>16</v>
      </c>
      <c r="E232" s="1">
        <v>45606</v>
      </c>
      <c r="F232" s="1">
        <v>45616</v>
      </c>
      <c r="G232" t="s">
        <v>43</v>
      </c>
      <c r="H232" t="s">
        <v>73</v>
      </c>
      <c r="I232">
        <v>2070</v>
      </c>
      <c r="J232" t="s">
        <v>19</v>
      </c>
      <c r="K232" t="s">
        <v>54</v>
      </c>
      <c r="L232" t="s">
        <v>55</v>
      </c>
      <c r="M232" t="s">
        <v>29</v>
      </c>
      <c r="N232">
        <v>10</v>
      </c>
      <c r="O232" t="str">
        <f t="shared" si="3"/>
        <v>Extended</v>
      </c>
    </row>
    <row r="233" spans="1:15" x14ac:dyDescent="0.3">
      <c r="A233" t="s">
        <v>514</v>
      </c>
      <c r="B233" t="s">
        <v>515</v>
      </c>
      <c r="C233">
        <v>60</v>
      </c>
      <c r="D233" t="s">
        <v>25</v>
      </c>
      <c r="E233" s="1">
        <v>45801</v>
      </c>
      <c r="F233" s="1">
        <v>45807</v>
      </c>
      <c r="G233" t="s">
        <v>17</v>
      </c>
      <c r="H233" t="s">
        <v>27</v>
      </c>
      <c r="I233">
        <v>4617</v>
      </c>
      <c r="J233" t="s">
        <v>34</v>
      </c>
      <c r="K233" t="s">
        <v>35</v>
      </c>
      <c r="L233" t="s">
        <v>45</v>
      </c>
      <c r="M233" t="s">
        <v>50</v>
      </c>
      <c r="N233">
        <v>6</v>
      </c>
      <c r="O233" t="str">
        <f t="shared" si="3"/>
        <v>Extended</v>
      </c>
    </row>
    <row r="234" spans="1:15" x14ac:dyDescent="0.3">
      <c r="A234" t="s">
        <v>516</v>
      </c>
      <c r="B234" t="s">
        <v>517</v>
      </c>
      <c r="C234">
        <v>71</v>
      </c>
      <c r="D234" t="s">
        <v>25</v>
      </c>
      <c r="E234" s="1">
        <v>45696</v>
      </c>
      <c r="F234" s="1">
        <v>45699</v>
      </c>
      <c r="G234" t="s">
        <v>94</v>
      </c>
      <c r="H234" t="s">
        <v>18</v>
      </c>
      <c r="I234">
        <v>3737</v>
      </c>
      <c r="J234" t="s">
        <v>19</v>
      </c>
      <c r="K234" t="s">
        <v>35</v>
      </c>
      <c r="L234" t="s">
        <v>21</v>
      </c>
      <c r="M234" t="s">
        <v>50</v>
      </c>
      <c r="N234">
        <v>3</v>
      </c>
      <c r="O234" t="str">
        <f t="shared" si="3"/>
        <v>Normal</v>
      </c>
    </row>
    <row r="235" spans="1:15" x14ac:dyDescent="0.3">
      <c r="A235" t="s">
        <v>518</v>
      </c>
      <c r="B235" t="s">
        <v>519</v>
      </c>
      <c r="C235">
        <v>49</v>
      </c>
      <c r="D235" t="s">
        <v>16</v>
      </c>
      <c r="E235" s="1">
        <v>45479</v>
      </c>
      <c r="F235" s="1">
        <v>45491</v>
      </c>
      <c r="G235" t="s">
        <v>94</v>
      </c>
      <c r="H235" t="s">
        <v>58</v>
      </c>
      <c r="I235">
        <v>6541</v>
      </c>
      <c r="J235" t="s">
        <v>19</v>
      </c>
      <c r="K235" t="s">
        <v>20</v>
      </c>
      <c r="L235" t="s">
        <v>78</v>
      </c>
      <c r="M235" t="s">
        <v>22</v>
      </c>
      <c r="N235">
        <v>12</v>
      </c>
      <c r="O235" t="str">
        <f t="shared" si="3"/>
        <v>Extended</v>
      </c>
    </row>
    <row r="236" spans="1:15" x14ac:dyDescent="0.3">
      <c r="A236" t="s">
        <v>520</v>
      </c>
      <c r="B236" t="s">
        <v>521</v>
      </c>
      <c r="C236">
        <v>89</v>
      </c>
      <c r="D236" t="s">
        <v>16</v>
      </c>
      <c r="E236" s="1">
        <v>45772</v>
      </c>
      <c r="F236" s="1">
        <v>45781</v>
      </c>
      <c r="G236" t="s">
        <v>62</v>
      </c>
      <c r="H236" t="s">
        <v>33</v>
      </c>
      <c r="I236">
        <v>3977</v>
      </c>
      <c r="J236" t="s">
        <v>19</v>
      </c>
      <c r="K236" t="s">
        <v>44</v>
      </c>
      <c r="L236" t="s">
        <v>21</v>
      </c>
      <c r="M236" t="s">
        <v>22</v>
      </c>
      <c r="N236">
        <v>9</v>
      </c>
      <c r="O236" t="str">
        <f t="shared" si="3"/>
        <v>Extended</v>
      </c>
    </row>
    <row r="237" spans="1:15" x14ac:dyDescent="0.3">
      <c r="A237" t="s">
        <v>522</v>
      </c>
      <c r="B237" t="s">
        <v>523</v>
      </c>
      <c r="C237">
        <v>21</v>
      </c>
      <c r="D237" t="s">
        <v>16</v>
      </c>
      <c r="E237" s="1">
        <v>45644</v>
      </c>
      <c r="F237" s="1">
        <v>45657</v>
      </c>
      <c r="G237" t="s">
        <v>66</v>
      </c>
      <c r="H237" t="s">
        <v>58</v>
      </c>
      <c r="I237">
        <v>5991</v>
      </c>
      <c r="J237" t="s">
        <v>34</v>
      </c>
      <c r="K237" t="s">
        <v>133</v>
      </c>
      <c r="L237" t="s">
        <v>28</v>
      </c>
      <c r="M237" t="s">
        <v>22</v>
      </c>
      <c r="N237">
        <v>13</v>
      </c>
      <c r="O237" t="str">
        <f t="shared" si="3"/>
        <v>Extended</v>
      </c>
    </row>
    <row r="238" spans="1:15" x14ac:dyDescent="0.3">
      <c r="A238" t="s">
        <v>524</v>
      </c>
      <c r="B238" t="s">
        <v>525</v>
      </c>
      <c r="C238">
        <v>36</v>
      </c>
      <c r="D238" t="s">
        <v>16</v>
      </c>
      <c r="E238" s="1">
        <v>45806</v>
      </c>
      <c r="F238" s="1">
        <v>45813</v>
      </c>
      <c r="G238" t="s">
        <v>17</v>
      </c>
      <c r="H238" t="s">
        <v>39</v>
      </c>
      <c r="I238">
        <v>4286</v>
      </c>
      <c r="J238" t="s">
        <v>34</v>
      </c>
      <c r="K238" t="s">
        <v>20</v>
      </c>
      <c r="L238" t="s">
        <v>21</v>
      </c>
      <c r="M238" t="s">
        <v>22</v>
      </c>
      <c r="N238">
        <v>7</v>
      </c>
      <c r="O238" t="str">
        <f t="shared" si="3"/>
        <v>Extended</v>
      </c>
    </row>
    <row r="239" spans="1:15" x14ac:dyDescent="0.3">
      <c r="A239" t="s">
        <v>526</v>
      </c>
      <c r="B239" t="s">
        <v>527</v>
      </c>
      <c r="C239">
        <v>4</v>
      </c>
      <c r="D239" t="s">
        <v>16</v>
      </c>
      <c r="E239" s="1">
        <v>45780</v>
      </c>
      <c r="F239" s="1">
        <v>45783</v>
      </c>
      <c r="G239" t="s">
        <v>17</v>
      </c>
      <c r="H239" t="s">
        <v>58</v>
      </c>
      <c r="I239">
        <v>1129</v>
      </c>
      <c r="J239" t="s">
        <v>19</v>
      </c>
      <c r="K239" t="s">
        <v>49</v>
      </c>
      <c r="L239" t="s">
        <v>45</v>
      </c>
      <c r="M239" t="s">
        <v>50</v>
      </c>
      <c r="N239">
        <v>3</v>
      </c>
      <c r="O239" t="str">
        <f t="shared" si="3"/>
        <v>Normal</v>
      </c>
    </row>
    <row r="240" spans="1:15" x14ac:dyDescent="0.3">
      <c r="A240" t="s">
        <v>528</v>
      </c>
      <c r="B240" t="s">
        <v>529</v>
      </c>
      <c r="C240">
        <v>79</v>
      </c>
      <c r="D240" t="s">
        <v>25</v>
      </c>
      <c r="E240" s="1">
        <v>45442</v>
      </c>
      <c r="F240" s="1">
        <v>45453</v>
      </c>
      <c r="G240" t="s">
        <v>66</v>
      </c>
      <c r="H240" t="s">
        <v>33</v>
      </c>
      <c r="I240">
        <v>7049</v>
      </c>
      <c r="J240" t="s">
        <v>34</v>
      </c>
      <c r="K240" t="s">
        <v>40</v>
      </c>
      <c r="L240" t="s">
        <v>45</v>
      </c>
      <c r="M240" t="s">
        <v>22</v>
      </c>
      <c r="N240">
        <v>11</v>
      </c>
      <c r="O240" t="str">
        <f t="shared" si="3"/>
        <v>Extended</v>
      </c>
    </row>
    <row r="241" spans="1:15" x14ac:dyDescent="0.3">
      <c r="A241" t="s">
        <v>530</v>
      </c>
      <c r="B241" t="s">
        <v>531</v>
      </c>
      <c r="C241">
        <v>27</v>
      </c>
      <c r="D241" t="s">
        <v>16</v>
      </c>
      <c r="E241" s="1">
        <v>45653</v>
      </c>
      <c r="F241" s="1">
        <v>45666</v>
      </c>
      <c r="G241" t="s">
        <v>62</v>
      </c>
      <c r="H241" t="s">
        <v>89</v>
      </c>
      <c r="I241">
        <v>9649</v>
      </c>
      <c r="J241" t="s">
        <v>19</v>
      </c>
      <c r="K241" t="s">
        <v>133</v>
      </c>
      <c r="L241" t="s">
        <v>21</v>
      </c>
      <c r="M241" t="s">
        <v>29</v>
      </c>
      <c r="N241">
        <v>13</v>
      </c>
      <c r="O241" t="str">
        <f t="shared" si="3"/>
        <v>Extended</v>
      </c>
    </row>
    <row r="242" spans="1:15" x14ac:dyDescent="0.3">
      <c r="A242" t="s">
        <v>532</v>
      </c>
      <c r="B242" t="s">
        <v>533</v>
      </c>
      <c r="C242">
        <v>50</v>
      </c>
      <c r="D242" t="s">
        <v>16</v>
      </c>
      <c r="E242" s="1">
        <v>45485</v>
      </c>
      <c r="F242" s="1">
        <v>45486</v>
      </c>
      <c r="G242" t="s">
        <v>26</v>
      </c>
      <c r="H242" t="s">
        <v>39</v>
      </c>
      <c r="I242">
        <v>4140</v>
      </c>
      <c r="J242" t="s">
        <v>34</v>
      </c>
      <c r="K242" t="s">
        <v>20</v>
      </c>
      <c r="L242" t="s">
        <v>28</v>
      </c>
      <c r="M242" t="s">
        <v>29</v>
      </c>
      <c r="N242">
        <v>1</v>
      </c>
      <c r="O242" t="str">
        <f t="shared" si="3"/>
        <v>Normal</v>
      </c>
    </row>
    <row r="243" spans="1:15" x14ac:dyDescent="0.3">
      <c r="A243" t="s">
        <v>534</v>
      </c>
      <c r="B243" t="s">
        <v>535</v>
      </c>
      <c r="C243">
        <v>73</v>
      </c>
      <c r="D243" t="s">
        <v>16</v>
      </c>
      <c r="E243" s="1">
        <v>45645</v>
      </c>
      <c r="F243" s="1">
        <v>45650</v>
      </c>
      <c r="G243" t="s">
        <v>17</v>
      </c>
      <c r="H243" t="s">
        <v>53</v>
      </c>
      <c r="I243">
        <v>5391</v>
      </c>
      <c r="J243" t="s">
        <v>19</v>
      </c>
      <c r="K243" t="s">
        <v>49</v>
      </c>
      <c r="L243" t="s">
        <v>59</v>
      </c>
      <c r="M243" t="s">
        <v>22</v>
      </c>
      <c r="N243">
        <v>5</v>
      </c>
      <c r="O243" t="str">
        <f t="shared" si="3"/>
        <v>Extended</v>
      </c>
    </row>
    <row r="244" spans="1:15" x14ac:dyDescent="0.3">
      <c r="A244" t="s">
        <v>536</v>
      </c>
      <c r="B244" t="s">
        <v>537</v>
      </c>
      <c r="C244">
        <v>41</v>
      </c>
      <c r="D244" t="s">
        <v>16</v>
      </c>
      <c r="E244" s="1">
        <v>45661</v>
      </c>
      <c r="F244" s="1">
        <v>45671</v>
      </c>
      <c r="G244" t="s">
        <v>32</v>
      </c>
      <c r="H244" t="s">
        <v>63</v>
      </c>
      <c r="I244">
        <v>7352</v>
      </c>
      <c r="J244" t="s">
        <v>34</v>
      </c>
      <c r="K244" t="s">
        <v>49</v>
      </c>
      <c r="L244" t="s">
        <v>45</v>
      </c>
      <c r="M244" t="s">
        <v>50</v>
      </c>
      <c r="N244">
        <v>10</v>
      </c>
      <c r="O244" t="str">
        <f t="shared" si="3"/>
        <v>Extended</v>
      </c>
    </row>
    <row r="245" spans="1:15" x14ac:dyDescent="0.3">
      <c r="A245" t="s">
        <v>538</v>
      </c>
      <c r="B245" t="s">
        <v>539</v>
      </c>
      <c r="C245">
        <v>90</v>
      </c>
      <c r="D245" t="s">
        <v>25</v>
      </c>
      <c r="E245" s="1">
        <v>45557</v>
      </c>
      <c r="F245" s="1">
        <v>45568</v>
      </c>
      <c r="G245" t="s">
        <v>94</v>
      </c>
      <c r="H245" t="s">
        <v>73</v>
      </c>
      <c r="I245">
        <v>1228</v>
      </c>
      <c r="J245" t="s">
        <v>34</v>
      </c>
      <c r="K245" t="s">
        <v>35</v>
      </c>
      <c r="L245" t="s">
        <v>45</v>
      </c>
      <c r="M245" t="s">
        <v>50</v>
      </c>
      <c r="N245">
        <v>11</v>
      </c>
      <c r="O245" t="str">
        <f t="shared" si="3"/>
        <v>Extended</v>
      </c>
    </row>
    <row r="246" spans="1:15" x14ac:dyDescent="0.3">
      <c r="A246" t="s">
        <v>540</v>
      </c>
      <c r="B246" t="s">
        <v>541</v>
      </c>
      <c r="C246">
        <v>12</v>
      </c>
      <c r="D246" t="s">
        <v>16</v>
      </c>
      <c r="E246" s="1">
        <v>45470</v>
      </c>
      <c r="F246" s="1">
        <v>45476</v>
      </c>
      <c r="G246" t="s">
        <v>17</v>
      </c>
      <c r="H246" t="s">
        <v>63</v>
      </c>
      <c r="I246">
        <v>4189</v>
      </c>
      <c r="J246" t="s">
        <v>34</v>
      </c>
      <c r="K246" t="s">
        <v>54</v>
      </c>
      <c r="L246" t="s">
        <v>55</v>
      </c>
      <c r="M246" t="s">
        <v>22</v>
      </c>
      <c r="N246">
        <v>6</v>
      </c>
      <c r="O246" t="str">
        <f t="shared" si="3"/>
        <v>Extended</v>
      </c>
    </row>
    <row r="247" spans="1:15" x14ac:dyDescent="0.3">
      <c r="A247" t="s">
        <v>542</v>
      </c>
      <c r="B247" t="s">
        <v>543</v>
      </c>
      <c r="C247">
        <v>25</v>
      </c>
      <c r="D247" t="s">
        <v>16</v>
      </c>
      <c r="E247" s="1">
        <v>45628</v>
      </c>
      <c r="F247" s="1">
        <v>45634</v>
      </c>
      <c r="G247" t="s">
        <v>43</v>
      </c>
      <c r="H247" t="s">
        <v>63</v>
      </c>
      <c r="I247">
        <v>5119</v>
      </c>
      <c r="J247" t="s">
        <v>34</v>
      </c>
      <c r="K247" t="s">
        <v>44</v>
      </c>
      <c r="L247" t="s">
        <v>59</v>
      </c>
      <c r="M247" t="s">
        <v>22</v>
      </c>
      <c r="N247">
        <v>6</v>
      </c>
      <c r="O247" t="str">
        <f t="shared" si="3"/>
        <v>Extended</v>
      </c>
    </row>
    <row r="248" spans="1:15" x14ac:dyDescent="0.3">
      <c r="A248" t="s">
        <v>544</v>
      </c>
      <c r="B248" t="s">
        <v>545</v>
      </c>
      <c r="C248">
        <v>86</v>
      </c>
      <c r="D248" t="s">
        <v>25</v>
      </c>
      <c r="E248" s="1">
        <v>45667</v>
      </c>
      <c r="F248" s="1">
        <v>45679</v>
      </c>
      <c r="G248" t="s">
        <v>43</v>
      </c>
      <c r="H248" t="s">
        <v>33</v>
      </c>
      <c r="I248">
        <v>9343</v>
      </c>
      <c r="J248" t="s">
        <v>19</v>
      </c>
      <c r="K248" t="s">
        <v>35</v>
      </c>
      <c r="L248" t="s">
        <v>78</v>
      </c>
      <c r="M248" t="s">
        <v>22</v>
      </c>
      <c r="N248">
        <v>12</v>
      </c>
      <c r="O248" t="str">
        <f t="shared" si="3"/>
        <v>Extended</v>
      </c>
    </row>
    <row r="249" spans="1:15" x14ac:dyDescent="0.3">
      <c r="A249" t="s">
        <v>546</v>
      </c>
      <c r="B249" t="s">
        <v>547</v>
      </c>
      <c r="C249">
        <v>88</v>
      </c>
      <c r="D249" t="s">
        <v>25</v>
      </c>
      <c r="E249" s="1">
        <v>45488</v>
      </c>
      <c r="F249" s="1">
        <v>45495</v>
      </c>
      <c r="G249" t="s">
        <v>32</v>
      </c>
      <c r="H249" t="s">
        <v>73</v>
      </c>
      <c r="I249">
        <v>5603</v>
      </c>
      <c r="J249" t="s">
        <v>34</v>
      </c>
      <c r="K249" t="s">
        <v>20</v>
      </c>
      <c r="L249" t="s">
        <v>36</v>
      </c>
      <c r="M249" t="s">
        <v>29</v>
      </c>
      <c r="N249">
        <v>7</v>
      </c>
      <c r="O249" t="str">
        <f t="shared" si="3"/>
        <v>Extended</v>
      </c>
    </row>
    <row r="250" spans="1:15" x14ac:dyDescent="0.3">
      <c r="A250" t="s">
        <v>548</v>
      </c>
      <c r="B250" t="s">
        <v>549</v>
      </c>
      <c r="C250">
        <v>27</v>
      </c>
      <c r="D250" t="s">
        <v>25</v>
      </c>
      <c r="E250" s="1">
        <v>45717</v>
      </c>
      <c r="F250" s="1">
        <v>45718</v>
      </c>
      <c r="G250" t="s">
        <v>62</v>
      </c>
      <c r="H250" t="s">
        <v>89</v>
      </c>
      <c r="I250">
        <v>8008</v>
      </c>
      <c r="J250" t="s">
        <v>19</v>
      </c>
      <c r="K250" t="s">
        <v>44</v>
      </c>
      <c r="L250" t="s">
        <v>55</v>
      </c>
      <c r="M250" t="s">
        <v>29</v>
      </c>
      <c r="N250">
        <v>1</v>
      </c>
      <c r="O250" t="str">
        <f t="shared" si="3"/>
        <v>Normal</v>
      </c>
    </row>
    <row r="251" spans="1:15" x14ac:dyDescent="0.3">
      <c r="A251" t="s">
        <v>550</v>
      </c>
      <c r="B251" t="s">
        <v>551</v>
      </c>
      <c r="C251">
        <v>66</v>
      </c>
      <c r="D251" t="s">
        <v>16</v>
      </c>
      <c r="E251" s="1">
        <v>45671</v>
      </c>
      <c r="F251" s="1">
        <v>45683</v>
      </c>
      <c r="G251" t="s">
        <v>43</v>
      </c>
      <c r="H251" t="s">
        <v>89</v>
      </c>
      <c r="I251">
        <v>4227</v>
      </c>
      <c r="J251" t="s">
        <v>34</v>
      </c>
      <c r="K251" t="s">
        <v>133</v>
      </c>
      <c r="L251" t="s">
        <v>28</v>
      </c>
      <c r="M251" t="s">
        <v>50</v>
      </c>
      <c r="N251">
        <v>12</v>
      </c>
      <c r="O251" t="str">
        <f t="shared" si="3"/>
        <v>Extended</v>
      </c>
    </row>
    <row r="252" spans="1:15" x14ac:dyDescent="0.3">
      <c r="A252" t="s">
        <v>552</v>
      </c>
      <c r="B252" t="s">
        <v>553</v>
      </c>
      <c r="C252">
        <v>4</v>
      </c>
      <c r="D252" t="s">
        <v>16</v>
      </c>
      <c r="E252" s="1">
        <v>45487</v>
      </c>
      <c r="F252" s="1">
        <v>45497</v>
      </c>
      <c r="G252" t="s">
        <v>17</v>
      </c>
      <c r="H252" t="s">
        <v>73</v>
      </c>
      <c r="I252">
        <v>6719</v>
      </c>
      <c r="J252" t="s">
        <v>19</v>
      </c>
      <c r="K252" t="s">
        <v>35</v>
      </c>
      <c r="L252" t="s">
        <v>45</v>
      </c>
      <c r="M252" t="s">
        <v>29</v>
      </c>
      <c r="N252">
        <v>10</v>
      </c>
      <c r="O252" t="str">
        <f t="shared" si="3"/>
        <v>Extended</v>
      </c>
    </row>
    <row r="253" spans="1:15" x14ac:dyDescent="0.3">
      <c r="A253" t="s">
        <v>554</v>
      </c>
      <c r="B253" t="s">
        <v>555</v>
      </c>
      <c r="C253">
        <v>21</v>
      </c>
      <c r="D253" t="s">
        <v>25</v>
      </c>
      <c r="E253" s="1">
        <v>45716</v>
      </c>
      <c r="F253" s="1">
        <v>45726</v>
      </c>
      <c r="G253" t="s">
        <v>66</v>
      </c>
      <c r="H253" t="s">
        <v>48</v>
      </c>
      <c r="I253">
        <v>5731</v>
      </c>
      <c r="J253" t="s">
        <v>34</v>
      </c>
      <c r="K253" t="s">
        <v>40</v>
      </c>
      <c r="L253" t="s">
        <v>55</v>
      </c>
      <c r="M253" t="s">
        <v>50</v>
      </c>
      <c r="N253">
        <v>10</v>
      </c>
      <c r="O253" t="str">
        <f t="shared" si="3"/>
        <v>Extended</v>
      </c>
    </row>
    <row r="254" spans="1:15" x14ac:dyDescent="0.3">
      <c r="A254" t="s">
        <v>556</v>
      </c>
      <c r="B254" t="s">
        <v>557</v>
      </c>
      <c r="C254">
        <v>63</v>
      </c>
      <c r="D254" t="s">
        <v>25</v>
      </c>
      <c r="E254" s="1">
        <v>45591</v>
      </c>
      <c r="F254" s="1">
        <v>45594</v>
      </c>
      <c r="G254" t="s">
        <v>26</v>
      </c>
      <c r="H254" t="s">
        <v>73</v>
      </c>
      <c r="I254">
        <v>1979</v>
      </c>
      <c r="J254" t="s">
        <v>19</v>
      </c>
      <c r="K254" t="s">
        <v>54</v>
      </c>
      <c r="L254" t="s">
        <v>28</v>
      </c>
      <c r="M254" t="s">
        <v>50</v>
      </c>
      <c r="N254">
        <v>3</v>
      </c>
      <c r="O254" t="str">
        <f t="shared" si="3"/>
        <v>Normal</v>
      </c>
    </row>
    <row r="255" spans="1:15" x14ac:dyDescent="0.3">
      <c r="A255" t="s">
        <v>558</v>
      </c>
      <c r="B255" t="s">
        <v>559</v>
      </c>
      <c r="C255">
        <v>71</v>
      </c>
      <c r="D255" t="s">
        <v>16</v>
      </c>
      <c r="E255" s="1">
        <v>45490</v>
      </c>
      <c r="F255" s="1">
        <v>45498</v>
      </c>
      <c r="G255" t="s">
        <v>26</v>
      </c>
      <c r="H255" t="s">
        <v>63</v>
      </c>
      <c r="I255">
        <v>6868</v>
      </c>
      <c r="J255" t="s">
        <v>34</v>
      </c>
      <c r="K255" t="s">
        <v>49</v>
      </c>
      <c r="L255" t="s">
        <v>45</v>
      </c>
      <c r="M255" t="s">
        <v>50</v>
      </c>
      <c r="N255">
        <v>8</v>
      </c>
      <c r="O255" t="str">
        <f t="shared" si="3"/>
        <v>Extended</v>
      </c>
    </row>
    <row r="256" spans="1:15" x14ac:dyDescent="0.3">
      <c r="A256" t="s">
        <v>560</v>
      </c>
      <c r="B256" t="s">
        <v>561</v>
      </c>
      <c r="C256">
        <v>14</v>
      </c>
      <c r="D256" t="s">
        <v>25</v>
      </c>
      <c r="E256" s="1">
        <v>45485</v>
      </c>
      <c r="F256" s="1">
        <v>45492</v>
      </c>
      <c r="G256" t="s">
        <v>32</v>
      </c>
      <c r="H256" t="s">
        <v>48</v>
      </c>
      <c r="I256">
        <v>5443</v>
      </c>
      <c r="J256" t="s">
        <v>19</v>
      </c>
      <c r="K256" t="s">
        <v>35</v>
      </c>
      <c r="L256" t="s">
        <v>59</v>
      </c>
      <c r="M256" t="s">
        <v>22</v>
      </c>
      <c r="N256">
        <v>7</v>
      </c>
      <c r="O256" t="str">
        <f t="shared" si="3"/>
        <v>Extended</v>
      </c>
    </row>
    <row r="257" spans="1:15" x14ac:dyDescent="0.3">
      <c r="A257" t="s">
        <v>562</v>
      </c>
      <c r="B257" t="s">
        <v>563</v>
      </c>
      <c r="C257">
        <v>22</v>
      </c>
      <c r="D257" t="s">
        <v>25</v>
      </c>
      <c r="E257" s="1">
        <v>45741</v>
      </c>
      <c r="F257" s="1">
        <v>45742</v>
      </c>
      <c r="G257" t="s">
        <v>43</v>
      </c>
      <c r="H257" t="s">
        <v>58</v>
      </c>
      <c r="I257">
        <v>1730</v>
      </c>
      <c r="J257" t="s">
        <v>19</v>
      </c>
      <c r="K257" t="s">
        <v>133</v>
      </c>
      <c r="L257" t="s">
        <v>45</v>
      </c>
      <c r="M257" t="s">
        <v>50</v>
      </c>
      <c r="N257">
        <v>1</v>
      </c>
      <c r="O257" t="str">
        <f t="shared" si="3"/>
        <v>Normal</v>
      </c>
    </row>
    <row r="258" spans="1:15" x14ac:dyDescent="0.3">
      <c r="A258" t="s">
        <v>564</v>
      </c>
      <c r="B258" t="s">
        <v>565</v>
      </c>
      <c r="C258">
        <v>5</v>
      </c>
      <c r="D258" t="s">
        <v>16</v>
      </c>
      <c r="E258" s="1">
        <v>45567</v>
      </c>
      <c r="F258" s="1">
        <v>45576</v>
      </c>
      <c r="G258" t="s">
        <v>43</v>
      </c>
      <c r="H258" t="s">
        <v>58</v>
      </c>
      <c r="I258">
        <v>7934</v>
      </c>
      <c r="J258" t="s">
        <v>34</v>
      </c>
      <c r="K258" t="s">
        <v>40</v>
      </c>
      <c r="L258" t="s">
        <v>59</v>
      </c>
      <c r="M258" t="s">
        <v>22</v>
      </c>
      <c r="N258">
        <v>9</v>
      </c>
      <c r="O258" t="str">
        <f t="shared" si="3"/>
        <v>Extended</v>
      </c>
    </row>
    <row r="259" spans="1:15" x14ac:dyDescent="0.3">
      <c r="A259" t="s">
        <v>566</v>
      </c>
      <c r="B259" t="s">
        <v>567</v>
      </c>
      <c r="C259">
        <v>43</v>
      </c>
      <c r="D259" t="s">
        <v>25</v>
      </c>
      <c r="E259" s="1">
        <v>45650</v>
      </c>
      <c r="F259" s="1">
        <v>45654</v>
      </c>
      <c r="G259" t="s">
        <v>17</v>
      </c>
      <c r="H259" t="s">
        <v>27</v>
      </c>
      <c r="I259">
        <v>5341</v>
      </c>
      <c r="J259" t="s">
        <v>19</v>
      </c>
      <c r="K259" t="s">
        <v>133</v>
      </c>
      <c r="L259" t="s">
        <v>45</v>
      </c>
      <c r="M259" t="s">
        <v>22</v>
      </c>
      <c r="N259">
        <v>4</v>
      </c>
      <c r="O259" t="str">
        <f t="shared" ref="O259:O322" si="4">IF(N259&gt;3,"Extended","Normal")</f>
        <v>Extended</v>
      </c>
    </row>
    <row r="260" spans="1:15" x14ac:dyDescent="0.3">
      <c r="A260" t="s">
        <v>568</v>
      </c>
      <c r="B260" t="s">
        <v>569</v>
      </c>
      <c r="C260">
        <v>7</v>
      </c>
      <c r="D260" t="s">
        <v>25</v>
      </c>
      <c r="E260" s="1">
        <v>45609</v>
      </c>
      <c r="F260" s="1">
        <v>45622</v>
      </c>
      <c r="G260" t="s">
        <v>62</v>
      </c>
      <c r="H260" t="s">
        <v>89</v>
      </c>
      <c r="I260">
        <v>2091</v>
      </c>
      <c r="J260" t="s">
        <v>34</v>
      </c>
      <c r="K260" t="s">
        <v>44</v>
      </c>
      <c r="L260" t="s">
        <v>78</v>
      </c>
      <c r="M260" t="s">
        <v>22</v>
      </c>
      <c r="N260">
        <v>13</v>
      </c>
      <c r="O260" t="str">
        <f t="shared" si="4"/>
        <v>Extended</v>
      </c>
    </row>
    <row r="261" spans="1:15" x14ac:dyDescent="0.3">
      <c r="A261" t="s">
        <v>570</v>
      </c>
      <c r="B261" t="s">
        <v>571</v>
      </c>
      <c r="C261">
        <v>33</v>
      </c>
      <c r="D261" t="s">
        <v>25</v>
      </c>
      <c r="E261" s="1">
        <v>45661</v>
      </c>
      <c r="F261" s="1">
        <v>45663</v>
      </c>
      <c r="G261" t="s">
        <v>94</v>
      </c>
      <c r="H261" t="s">
        <v>27</v>
      </c>
      <c r="I261">
        <v>4501</v>
      </c>
      <c r="J261" t="s">
        <v>19</v>
      </c>
      <c r="K261" t="s">
        <v>54</v>
      </c>
      <c r="L261" t="s">
        <v>78</v>
      </c>
      <c r="M261" t="s">
        <v>50</v>
      </c>
      <c r="N261">
        <v>2</v>
      </c>
      <c r="O261" t="str">
        <f t="shared" si="4"/>
        <v>Normal</v>
      </c>
    </row>
    <row r="262" spans="1:15" x14ac:dyDescent="0.3">
      <c r="A262" t="s">
        <v>572</v>
      </c>
      <c r="B262" t="s">
        <v>573</v>
      </c>
      <c r="C262">
        <v>83</v>
      </c>
      <c r="D262" t="s">
        <v>16</v>
      </c>
      <c r="E262" s="1">
        <v>45512</v>
      </c>
      <c r="F262" s="1">
        <v>45516</v>
      </c>
      <c r="G262" t="s">
        <v>26</v>
      </c>
      <c r="H262" t="s">
        <v>48</v>
      </c>
      <c r="I262">
        <v>1116</v>
      </c>
      <c r="J262" t="s">
        <v>34</v>
      </c>
      <c r="K262" t="s">
        <v>133</v>
      </c>
      <c r="L262" t="s">
        <v>78</v>
      </c>
      <c r="M262" t="s">
        <v>50</v>
      </c>
      <c r="N262">
        <v>4</v>
      </c>
      <c r="O262" t="str">
        <f t="shared" si="4"/>
        <v>Extended</v>
      </c>
    </row>
    <row r="263" spans="1:15" x14ac:dyDescent="0.3">
      <c r="A263" t="s">
        <v>574</v>
      </c>
      <c r="B263" t="s">
        <v>575</v>
      </c>
      <c r="C263">
        <v>90</v>
      </c>
      <c r="D263" t="s">
        <v>16</v>
      </c>
      <c r="E263" s="1">
        <v>45539</v>
      </c>
      <c r="F263" s="1">
        <v>45553</v>
      </c>
      <c r="G263" t="s">
        <v>26</v>
      </c>
      <c r="H263" t="s">
        <v>89</v>
      </c>
      <c r="I263">
        <v>1294</v>
      </c>
      <c r="J263" t="s">
        <v>19</v>
      </c>
      <c r="K263" t="s">
        <v>49</v>
      </c>
      <c r="L263" t="s">
        <v>21</v>
      </c>
      <c r="M263" t="s">
        <v>22</v>
      </c>
      <c r="N263">
        <v>14</v>
      </c>
      <c r="O263" t="str">
        <f t="shared" si="4"/>
        <v>Extended</v>
      </c>
    </row>
    <row r="264" spans="1:15" x14ac:dyDescent="0.3">
      <c r="A264" t="s">
        <v>576</v>
      </c>
      <c r="B264" t="s">
        <v>577</v>
      </c>
      <c r="C264">
        <v>82</v>
      </c>
      <c r="D264" t="s">
        <v>16</v>
      </c>
      <c r="E264" s="1">
        <v>45494</v>
      </c>
      <c r="F264" s="1">
        <v>45499</v>
      </c>
      <c r="G264" t="s">
        <v>62</v>
      </c>
      <c r="H264" t="s">
        <v>27</v>
      </c>
      <c r="I264">
        <v>7296</v>
      </c>
      <c r="J264" t="s">
        <v>34</v>
      </c>
      <c r="K264" t="s">
        <v>49</v>
      </c>
      <c r="L264" t="s">
        <v>21</v>
      </c>
      <c r="M264" t="s">
        <v>50</v>
      </c>
      <c r="N264">
        <v>5</v>
      </c>
      <c r="O264" t="str">
        <f t="shared" si="4"/>
        <v>Extended</v>
      </c>
    </row>
    <row r="265" spans="1:15" x14ac:dyDescent="0.3">
      <c r="A265" t="s">
        <v>578</v>
      </c>
      <c r="B265" t="s">
        <v>579</v>
      </c>
      <c r="C265">
        <v>8</v>
      </c>
      <c r="D265" t="s">
        <v>16</v>
      </c>
      <c r="E265" s="1">
        <v>45600</v>
      </c>
      <c r="F265" s="1">
        <v>45609</v>
      </c>
      <c r="G265" t="s">
        <v>43</v>
      </c>
      <c r="H265" t="s">
        <v>58</v>
      </c>
      <c r="I265">
        <v>6594</v>
      </c>
      <c r="J265" t="s">
        <v>34</v>
      </c>
      <c r="K265" t="s">
        <v>35</v>
      </c>
      <c r="L265" t="s">
        <v>28</v>
      </c>
      <c r="M265" t="s">
        <v>22</v>
      </c>
      <c r="N265">
        <v>9</v>
      </c>
      <c r="O265" t="str">
        <f t="shared" si="4"/>
        <v>Extended</v>
      </c>
    </row>
    <row r="266" spans="1:15" x14ac:dyDescent="0.3">
      <c r="A266" t="s">
        <v>580</v>
      </c>
      <c r="B266" t="s">
        <v>581</v>
      </c>
      <c r="C266">
        <v>10</v>
      </c>
      <c r="D266" t="s">
        <v>16</v>
      </c>
      <c r="E266" s="1">
        <v>45648</v>
      </c>
      <c r="F266" s="1">
        <v>45661</v>
      </c>
      <c r="G266" t="s">
        <v>43</v>
      </c>
      <c r="H266" t="s">
        <v>53</v>
      </c>
      <c r="I266">
        <v>6841</v>
      </c>
      <c r="J266" t="s">
        <v>19</v>
      </c>
      <c r="K266" t="s">
        <v>44</v>
      </c>
      <c r="L266" t="s">
        <v>55</v>
      </c>
      <c r="M266" t="s">
        <v>50</v>
      </c>
      <c r="N266">
        <v>13</v>
      </c>
      <c r="O266" t="str">
        <f t="shared" si="4"/>
        <v>Extended</v>
      </c>
    </row>
    <row r="267" spans="1:15" x14ac:dyDescent="0.3">
      <c r="A267" t="s">
        <v>582</v>
      </c>
      <c r="B267" t="s">
        <v>583</v>
      </c>
      <c r="C267">
        <v>14</v>
      </c>
      <c r="D267" t="s">
        <v>16</v>
      </c>
      <c r="E267" s="1">
        <v>45477</v>
      </c>
      <c r="F267" s="1">
        <v>45480</v>
      </c>
      <c r="G267" t="s">
        <v>66</v>
      </c>
      <c r="H267" t="s">
        <v>63</v>
      </c>
      <c r="I267">
        <v>7842</v>
      </c>
      <c r="J267" t="s">
        <v>34</v>
      </c>
      <c r="K267" t="s">
        <v>20</v>
      </c>
      <c r="L267" t="s">
        <v>55</v>
      </c>
      <c r="M267" t="s">
        <v>22</v>
      </c>
      <c r="N267">
        <v>3</v>
      </c>
      <c r="O267" t="str">
        <f t="shared" si="4"/>
        <v>Normal</v>
      </c>
    </row>
    <row r="268" spans="1:15" x14ac:dyDescent="0.3">
      <c r="A268" t="s">
        <v>584</v>
      </c>
      <c r="B268" t="s">
        <v>585</v>
      </c>
      <c r="C268">
        <v>80</v>
      </c>
      <c r="D268" t="s">
        <v>16</v>
      </c>
      <c r="E268" s="1">
        <v>45726</v>
      </c>
      <c r="F268" s="1">
        <v>45731</v>
      </c>
      <c r="G268" t="s">
        <v>62</v>
      </c>
      <c r="H268" t="s">
        <v>89</v>
      </c>
      <c r="I268">
        <v>1070</v>
      </c>
      <c r="J268" t="s">
        <v>34</v>
      </c>
      <c r="K268" t="s">
        <v>49</v>
      </c>
      <c r="L268" t="s">
        <v>28</v>
      </c>
      <c r="M268" t="s">
        <v>22</v>
      </c>
      <c r="N268">
        <v>5</v>
      </c>
      <c r="O268" t="str">
        <f t="shared" si="4"/>
        <v>Extended</v>
      </c>
    </row>
    <row r="269" spans="1:15" x14ac:dyDescent="0.3">
      <c r="A269" t="s">
        <v>586</v>
      </c>
      <c r="B269" t="s">
        <v>587</v>
      </c>
      <c r="C269">
        <v>50</v>
      </c>
      <c r="D269" t="s">
        <v>16</v>
      </c>
      <c r="E269" s="1">
        <v>45450</v>
      </c>
      <c r="F269" s="1">
        <v>45453</v>
      </c>
      <c r="G269" t="s">
        <v>43</v>
      </c>
      <c r="H269" t="s">
        <v>73</v>
      </c>
      <c r="I269">
        <v>7815</v>
      </c>
      <c r="J269" t="s">
        <v>19</v>
      </c>
      <c r="K269" t="s">
        <v>20</v>
      </c>
      <c r="L269" t="s">
        <v>59</v>
      </c>
      <c r="M269" t="s">
        <v>22</v>
      </c>
      <c r="N269">
        <v>3</v>
      </c>
      <c r="O269" t="str">
        <f t="shared" si="4"/>
        <v>Normal</v>
      </c>
    </row>
    <row r="270" spans="1:15" x14ac:dyDescent="0.3">
      <c r="A270" t="s">
        <v>588</v>
      </c>
      <c r="B270" t="s">
        <v>589</v>
      </c>
      <c r="C270">
        <v>15</v>
      </c>
      <c r="D270" t="s">
        <v>25</v>
      </c>
      <c r="E270" s="1">
        <v>45788</v>
      </c>
      <c r="F270" s="1">
        <v>45795</v>
      </c>
      <c r="G270" t="s">
        <v>94</v>
      </c>
      <c r="H270" t="s">
        <v>39</v>
      </c>
      <c r="I270">
        <v>3197</v>
      </c>
      <c r="J270" t="s">
        <v>19</v>
      </c>
      <c r="K270" t="s">
        <v>133</v>
      </c>
      <c r="L270" t="s">
        <v>36</v>
      </c>
      <c r="M270" t="s">
        <v>50</v>
      </c>
      <c r="N270">
        <v>7</v>
      </c>
      <c r="O270" t="str">
        <f t="shared" si="4"/>
        <v>Extended</v>
      </c>
    </row>
    <row r="271" spans="1:15" x14ac:dyDescent="0.3">
      <c r="A271" t="s">
        <v>590</v>
      </c>
      <c r="B271" t="s">
        <v>591</v>
      </c>
      <c r="C271">
        <v>51</v>
      </c>
      <c r="D271" t="s">
        <v>16</v>
      </c>
      <c r="E271" s="1">
        <v>45806</v>
      </c>
      <c r="F271" s="1">
        <v>45808</v>
      </c>
      <c r="G271" t="s">
        <v>32</v>
      </c>
      <c r="H271" t="s">
        <v>89</v>
      </c>
      <c r="I271">
        <v>6502</v>
      </c>
      <c r="J271" t="s">
        <v>34</v>
      </c>
      <c r="K271" t="s">
        <v>44</v>
      </c>
      <c r="L271" t="s">
        <v>21</v>
      </c>
      <c r="M271" t="s">
        <v>50</v>
      </c>
      <c r="N271">
        <v>2</v>
      </c>
      <c r="O271" t="str">
        <f t="shared" si="4"/>
        <v>Normal</v>
      </c>
    </row>
    <row r="272" spans="1:15" x14ac:dyDescent="0.3">
      <c r="A272" t="s">
        <v>592</v>
      </c>
      <c r="B272" t="s">
        <v>593</v>
      </c>
      <c r="C272">
        <v>11</v>
      </c>
      <c r="D272" t="s">
        <v>16</v>
      </c>
      <c r="E272" s="1">
        <v>45482</v>
      </c>
      <c r="F272" s="1">
        <v>45492</v>
      </c>
      <c r="G272" t="s">
        <v>62</v>
      </c>
      <c r="H272" t="s">
        <v>53</v>
      </c>
      <c r="I272">
        <v>4022</v>
      </c>
      <c r="J272" t="s">
        <v>19</v>
      </c>
      <c r="K272" t="s">
        <v>40</v>
      </c>
      <c r="L272" t="s">
        <v>28</v>
      </c>
      <c r="M272" t="s">
        <v>29</v>
      </c>
      <c r="N272">
        <v>10</v>
      </c>
      <c r="O272" t="str">
        <f t="shared" si="4"/>
        <v>Extended</v>
      </c>
    </row>
    <row r="273" spans="1:15" x14ac:dyDescent="0.3">
      <c r="A273" t="s">
        <v>594</v>
      </c>
      <c r="B273" t="s">
        <v>595</v>
      </c>
      <c r="C273">
        <v>76</v>
      </c>
      <c r="D273" t="s">
        <v>25</v>
      </c>
      <c r="E273" s="1">
        <v>45482</v>
      </c>
      <c r="F273" s="1">
        <v>45488</v>
      </c>
      <c r="G273" t="s">
        <v>43</v>
      </c>
      <c r="H273" t="s">
        <v>18</v>
      </c>
      <c r="I273">
        <v>9267</v>
      </c>
      <c r="J273" t="s">
        <v>34</v>
      </c>
      <c r="K273" t="s">
        <v>49</v>
      </c>
      <c r="L273" t="s">
        <v>36</v>
      </c>
      <c r="M273" t="s">
        <v>22</v>
      </c>
      <c r="N273">
        <v>6</v>
      </c>
      <c r="O273" t="str">
        <f t="shared" si="4"/>
        <v>Extended</v>
      </c>
    </row>
    <row r="274" spans="1:15" x14ac:dyDescent="0.3">
      <c r="A274" t="s">
        <v>596</v>
      </c>
      <c r="B274" t="s">
        <v>597</v>
      </c>
      <c r="C274">
        <v>25</v>
      </c>
      <c r="D274" t="s">
        <v>16</v>
      </c>
      <c r="E274" s="1">
        <v>45796</v>
      </c>
      <c r="F274" s="1">
        <v>45801</v>
      </c>
      <c r="G274" t="s">
        <v>26</v>
      </c>
      <c r="H274" t="s">
        <v>89</v>
      </c>
      <c r="I274">
        <v>4972</v>
      </c>
      <c r="J274" t="s">
        <v>19</v>
      </c>
      <c r="K274" t="s">
        <v>20</v>
      </c>
      <c r="L274" t="s">
        <v>55</v>
      </c>
      <c r="M274" t="s">
        <v>50</v>
      </c>
      <c r="N274">
        <v>5</v>
      </c>
      <c r="O274" t="str">
        <f t="shared" si="4"/>
        <v>Extended</v>
      </c>
    </row>
    <row r="275" spans="1:15" x14ac:dyDescent="0.3">
      <c r="A275" t="s">
        <v>598</v>
      </c>
      <c r="B275" t="s">
        <v>599</v>
      </c>
      <c r="C275">
        <v>24</v>
      </c>
      <c r="D275" t="s">
        <v>16</v>
      </c>
      <c r="E275" s="1">
        <v>45692</v>
      </c>
      <c r="F275" s="1">
        <v>45699</v>
      </c>
      <c r="G275" t="s">
        <v>66</v>
      </c>
      <c r="H275" t="s">
        <v>63</v>
      </c>
      <c r="I275">
        <v>5875</v>
      </c>
      <c r="J275" t="s">
        <v>34</v>
      </c>
      <c r="K275" t="s">
        <v>35</v>
      </c>
      <c r="L275" t="s">
        <v>78</v>
      </c>
      <c r="M275" t="s">
        <v>29</v>
      </c>
      <c r="N275">
        <v>7</v>
      </c>
      <c r="O275" t="str">
        <f t="shared" si="4"/>
        <v>Extended</v>
      </c>
    </row>
    <row r="276" spans="1:15" x14ac:dyDescent="0.3">
      <c r="A276" t="s">
        <v>600</v>
      </c>
      <c r="B276" t="s">
        <v>601</v>
      </c>
      <c r="C276">
        <v>3</v>
      </c>
      <c r="D276" t="s">
        <v>16</v>
      </c>
      <c r="E276" s="1">
        <v>45652</v>
      </c>
      <c r="F276" s="1">
        <v>45659</v>
      </c>
      <c r="G276" t="s">
        <v>32</v>
      </c>
      <c r="H276" t="s">
        <v>27</v>
      </c>
      <c r="I276">
        <v>3805</v>
      </c>
      <c r="J276" t="s">
        <v>34</v>
      </c>
      <c r="K276" t="s">
        <v>35</v>
      </c>
      <c r="L276" t="s">
        <v>36</v>
      </c>
      <c r="M276" t="s">
        <v>50</v>
      </c>
      <c r="N276">
        <v>7</v>
      </c>
      <c r="O276" t="str">
        <f t="shared" si="4"/>
        <v>Extended</v>
      </c>
    </row>
    <row r="277" spans="1:15" x14ac:dyDescent="0.3">
      <c r="A277" t="s">
        <v>602</v>
      </c>
      <c r="B277" t="s">
        <v>603</v>
      </c>
      <c r="C277">
        <v>22</v>
      </c>
      <c r="D277" t="s">
        <v>25</v>
      </c>
      <c r="E277" s="1">
        <v>45516</v>
      </c>
      <c r="F277" s="1">
        <v>45527</v>
      </c>
      <c r="G277" t="s">
        <v>43</v>
      </c>
      <c r="H277" t="s">
        <v>18</v>
      </c>
      <c r="I277">
        <v>3473</v>
      </c>
      <c r="J277" t="s">
        <v>19</v>
      </c>
      <c r="K277" t="s">
        <v>20</v>
      </c>
      <c r="L277" t="s">
        <v>21</v>
      </c>
      <c r="M277" t="s">
        <v>29</v>
      </c>
      <c r="N277">
        <v>11</v>
      </c>
      <c r="O277" t="str">
        <f t="shared" si="4"/>
        <v>Extended</v>
      </c>
    </row>
    <row r="278" spans="1:15" x14ac:dyDescent="0.3">
      <c r="A278" t="s">
        <v>604</v>
      </c>
      <c r="B278" t="s">
        <v>605</v>
      </c>
      <c r="C278">
        <v>25</v>
      </c>
      <c r="D278" t="s">
        <v>16</v>
      </c>
      <c r="E278" s="1">
        <v>45699</v>
      </c>
      <c r="F278" s="1">
        <v>45703</v>
      </c>
      <c r="G278" t="s">
        <v>43</v>
      </c>
      <c r="H278" t="s">
        <v>58</v>
      </c>
      <c r="I278">
        <v>7776</v>
      </c>
      <c r="J278" t="s">
        <v>34</v>
      </c>
      <c r="K278" t="s">
        <v>35</v>
      </c>
      <c r="L278" t="s">
        <v>45</v>
      </c>
      <c r="M278" t="s">
        <v>22</v>
      </c>
      <c r="N278">
        <v>4</v>
      </c>
      <c r="O278" t="str">
        <f t="shared" si="4"/>
        <v>Extended</v>
      </c>
    </row>
    <row r="279" spans="1:15" x14ac:dyDescent="0.3">
      <c r="A279" t="s">
        <v>606</v>
      </c>
      <c r="B279" t="s">
        <v>607</v>
      </c>
      <c r="C279">
        <v>11</v>
      </c>
      <c r="D279" t="s">
        <v>25</v>
      </c>
      <c r="E279" s="1">
        <v>45619</v>
      </c>
      <c r="F279" s="1">
        <v>45631</v>
      </c>
      <c r="G279" t="s">
        <v>94</v>
      </c>
      <c r="H279" t="s">
        <v>58</v>
      </c>
      <c r="I279">
        <v>7996</v>
      </c>
      <c r="J279" t="s">
        <v>34</v>
      </c>
      <c r="K279" t="s">
        <v>40</v>
      </c>
      <c r="L279" t="s">
        <v>59</v>
      </c>
      <c r="M279" t="s">
        <v>22</v>
      </c>
      <c r="N279">
        <v>12</v>
      </c>
      <c r="O279" t="str">
        <f t="shared" si="4"/>
        <v>Extended</v>
      </c>
    </row>
    <row r="280" spans="1:15" x14ac:dyDescent="0.3">
      <c r="A280" t="s">
        <v>608</v>
      </c>
      <c r="B280" t="s">
        <v>609</v>
      </c>
      <c r="C280">
        <v>85</v>
      </c>
      <c r="D280" t="s">
        <v>25</v>
      </c>
      <c r="E280" s="1">
        <v>45559</v>
      </c>
      <c r="F280" s="1">
        <v>45568</v>
      </c>
      <c r="G280" t="s">
        <v>43</v>
      </c>
      <c r="H280" t="s">
        <v>18</v>
      </c>
      <c r="I280">
        <v>7320</v>
      </c>
      <c r="J280" t="s">
        <v>34</v>
      </c>
      <c r="K280" t="s">
        <v>54</v>
      </c>
      <c r="L280" t="s">
        <v>45</v>
      </c>
      <c r="M280" t="s">
        <v>50</v>
      </c>
      <c r="N280">
        <v>9</v>
      </c>
      <c r="O280" t="str">
        <f t="shared" si="4"/>
        <v>Extended</v>
      </c>
    </row>
    <row r="281" spans="1:15" x14ac:dyDescent="0.3">
      <c r="A281" t="s">
        <v>610</v>
      </c>
      <c r="B281" t="s">
        <v>611</v>
      </c>
      <c r="C281">
        <v>18</v>
      </c>
      <c r="D281" t="s">
        <v>16</v>
      </c>
      <c r="E281" s="1">
        <v>45554</v>
      </c>
      <c r="F281" s="1">
        <v>45566</v>
      </c>
      <c r="G281" t="s">
        <v>26</v>
      </c>
      <c r="H281" t="s">
        <v>58</v>
      </c>
      <c r="I281">
        <v>5635</v>
      </c>
      <c r="J281" t="s">
        <v>19</v>
      </c>
      <c r="K281" t="s">
        <v>133</v>
      </c>
      <c r="L281" t="s">
        <v>78</v>
      </c>
      <c r="M281" t="s">
        <v>29</v>
      </c>
      <c r="N281">
        <v>12</v>
      </c>
      <c r="O281" t="str">
        <f t="shared" si="4"/>
        <v>Extended</v>
      </c>
    </row>
    <row r="282" spans="1:15" x14ac:dyDescent="0.3">
      <c r="A282" t="s">
        <v>612</v>
      </c>
      <c r="B282" t="s">
        <v>613</v>
      </c>
      <c r="C282">
        <v>5</v>
      </c>
      <c r="D282" t="s">
        <v>16</v>
      </c>
      <c r="E282" s="1">
        <v>45780</v>
      </c>
      <c r="F282" s="1">
        <v>45785</v>
      </c>
      <c r="G282" t="s">
        <v>26</v>
      </c>
      <c r="H282" t="s">
        <v>48</v>
      </c>
      <c r="I282">
        <v>3023</v>
      </c>
      <c r="J282" t="s">
        <v>19</v>
      </c>
      <c r="K282" t="s">
        <v>35</v>
      </c>
      <c r="L282" t="s">
        <v>78</v>
      </c>
      <c r="M282" t="s">
        <v>50</v>
      </c>
      <c r="N282">
        <v>5</v>
      </c>
      <c r="O282" t="str">
        <f t="shared" si="4"/>
        <v>Extended</v>
      </c>
    </row>
    <row r="283" spans="1:15" x14ac:dyDescent="0.3">
      <c r="A283" t="s">
        <v>614</v>
      </c>
      <c r="B283" t="s">
        <v>615</v>
      </c>
      <c r="C283">
        <v>86</v>
      </c>
      <c r="D283" t="s">
        <v>16</v>
      </c>
      <c r="E283" s="1">
        <v>45474</v>
      </c>
      <c r="F283" s="1">
        <v>45477</v>
      </c>
      <c r="G283" t="s">
        <v>66</v>
      </c>
      <c r="H283" t="s">
        <v>33</v>
      </c>
      <c r="I283">
        <v>3811</v>
      </c>
      <c r="J283" t="s">
        <v>34</v>
      </c>
      <c r="K283" t="s">
        <v>20</v>
      </c>
      <c r="L283" t="s">
        <v>36</v>
      </c>
      <c r="M283" t="s">
        <v>29</v>
      </c>
      <c r="N283">
        <v>3</v>
      </c>
      <c r="O283" t="str">
        <f t="shared" si="4"/>
        <v>Normal</v>
      </c>
    </row>
    <row r="284" spans="1:15" x14ac:dyDescent="0.3">
      <c r="A284" t="s">
        <v>616</v>
      </c>
      <c r="B284" t="s">
        <v>617</v>
      </c>
      <c r="C284">
        <v>34</v>
      </c>
      <c r="D284" t="s">
        <v>16</v>
      </c>
      <c r="E284" s="1">
        <v>45632</v>
      </c>
      <c r="F284" s="1">
        <v>45645</v>
      </c>
      <c r="G284" t="s">
        <v>94</v>
      </c>
      <c r="H284" t="s">
        <v>27</v>
      </c>
      <c r="I284">
        <v>3165</v>
      </c>
      <c r="J284" t="s">
        <v>34</v>
      </c>
      <c r="K284" t="s">
        <v>35</v>
      </c>
      <c r="L284" t="s">
        <v>59</v>
      </c>
      <c r="M284" t="s">
        <v>22</v>
      </c>
      <c r="N284">
        <v>13</v>
      </c>
      <c r="O284" t="str">
        <f t="shared" si="4"/>
        <v>Extended</v>
      </c>
    </row>
    <row r="285" spans="1:15" x14ac:dyDescent="0.3">
      <c r="A285" t="s">
        <v>618</v>
      </c>
      <c r="B285" t="s">
        <v>619</v>
      </c>
      <c r="C285">
        <v>35</v>
      </c>
      <c r="D285" t="s">
        <v>16</v>
      </c>
      <c r="E285" s="1">
        <v>45649</v>
      </c>
      <c r="F285" s="1">
        <v>45653</v>
      </c>
      <c r="G285" t="s">
        <v>66</v>
      </c>
      <c r="H285" t="s">
        <v>73</v>
      </c>
      <c r="I285">
        <v>9874</v>
      </c>
      <c r="J285" t="s">
        <v>34</v>
      </c>
      <c r="K285" t="s">
        <v>44</v>
      </c>
      <c r="L285" t="s">
        <v>36</v>
      </c>
      <c r="M285" t="s">
        <v>22</v>
      </c>
      <c r="N285">
        <v>4</v>
      </c>
      <c r="O285" t="str">
        <f t="shared" si="4"/>
        <v>Extended</v>
      </c>
    </row>
    <row r="286" spans="1:15" x14ac:dyDescent="0.3">
      <c r="A286" t="s">
        <v>620</v>
      </c>
      <c r="B286" t="s">
        <v>621</v>
      </c>
      <c r="C286">
        <v>57</v>
      </c>
      <c r="D286" t="s">
        <v>25</v>
      </c>
      <c r="E286" s="1">
        <v>45520</v>
      </c>
      <c r="F286" s="1">
        <v>45525</v>
      </c>
      <c r="G286" t="s">
        <v>17</v>
      </c>
      <c r="H286" t="s">
        <v>48</v>
      </c>
      <c r="I286">
        <v>4549</v>
      </c>
      <c r="J286" t="s">
        <v>34</v>
      </c>
      <c r="K286" t="s">
        <v>49</v>
      </c>
      <c r="L286" t="s">
        <v>28</v>
      </c>
      <c r="M286" t="s">
        <v>29</v>
      </c>
      <c r="N286">
        <v>5</v>
      </c>
      <c r="O286" t="str">
        <f t="shared" si="4"/>
        <v>Extended</v>
      </c>
    </row>
    <row r="287" spans="1:15" x14ac:dyDescent="0.3">
      <c r="A287" t="s">
        <v>622</v>
      </c>
      <c r="B287" t="s">
        <v>623</v>
      </c>
      <c r="C287">
        <v>29</v>
      </c>
      <c r="D287" t="s">
        <v>16</v>
      </c>
      <c r="E287" s="1">
        <v>45703</v>
      </c>
      <c r="F287" s="1">
        <v>45705</v>
      </c>
      <c r="G287" t="s">
        <v>62</v>
      </c>
      <c r="H287" t="s">
        <v>33</v>
      </c>
      <c r="I287">
        <v>7966</v>
      </c>
      <c r="J287" t="s">
        <v>19</v>
      </c>
      <c r="K287" t="s">
        <v>44</v>
      </c>
      <c r="L287" t="s">
        <v>78</v>
      </c>
      <c r="M287" t="s">
        <v>22</v>
      </c>
      <c r="N287">
        <v>2</v>
      </c>
      <c r="O287" t="str">
        <f t="shared" si="4"/>
        <v>Normal</v>
      </c>
    </row>
    <row r="288" spans="1:15" x14ac:dyDescent="0.3">
      <c r="A288" t="s">
        <v>624</v>
      </c>
      <c r="B288" t="s">
        <v>625</v>
      </c>
      <c r="C288">
        <v>2</v>
      </c>
      <c r="D288" t="s">
        <v>16</v>
      </c>
      <c r="E288" s="1">
        <v>45504</v>
      </c>
      <c r="F288" s="1">
        <v>45509</v>
      </c>
      <c r="G288" t="s">
        <v>62</v>
      </c>
      <c r="H288" t="s">
        <v>63</v>
      </c>
      <c r="I288">
        <v>8504</v>
      </c>
      <c r="J288" t="s">
        <v>34</v>
      </c>
      <c r="K288" t="s">
        <v>49</v>
      </c>
      <c r="L288" t="s">
        <v>36</v>
      </c>
      <c r="M288" t="s">
        <v>29</v>
      </c>
      <c r="N288">
        <v>5</v>
      </c>
      <c r="O288" t="str">
        <f t="shared" si="4"/>
        <v>Extended</v>
      </c>
    </row>
    <row r="289" spans="1:15" x14ac:dyDescent="0.3">
      <c r="A289" t="s">
        <v>626</v>
      </c>
      <c r="B289" t="s">
        <v>627</v>
      </c>
      <c r="C289">
        <v>79</v>
      </c>
      <c r="D289" t="s">
        <v>16</v>
      </c>
      <c r="E289" s="1">
        <v>45720</v>
      </c>
      <c r="F289" s="1">
        <v>45724</v>
      </c>
      <c r="G289" t="s">
        <v>66</v>
      </c>
      <c r="H289" t="s">
        <v>89</v>
      </c>
      <c r="I289">
        <v>7762</v>
      </c>
      <c r="J289" t="s">
        <v>34</v>
      </c>
      <c r="K289" t="s">
        <v>133</v>
      </c>
      <c r="L289" t="s">
        <v>36</v>
      </c>
      <c r="M289" t="s">
        <v>50</v>
      </c>
      <c r="N289">
        <v>4</v>
      </c>
      <c r="O289" t="str">
        <f t="shared" si="4"/>
        <v>Extended</v>
      </c>
    </row>
    <row r="290" spans="1:15" x14ac:dyDescent="0.3">
      <c r="A290" t="s">
        <v>628</v>
      </c>
      <c r="B290" t="s">
        <v>629</v>
      </c>
      <c r="C290">
        <v>44</v>
      </c>
      <c r="D290" t="s">
        <v>16</v>
      </c>
      <c r="E290" s="1">
        <v>45638</v>
      </c>
      <c r="F290" s="1">
        <v>45644</v>
      </c>
      <c r="G290" t="s">
        <v>66</v>
      </c>
      <c r="H290" t="s">
        <v>58</v>
      </c>
      <c r="I290">
        <v>8465</v>
      </c>
      <c r="J290" t="s">
        <v>34</v>
      </c>
      <c r="K290" t="s">
        <v>133</v>
      </c>
      <c r="L290" t="s">
        <v>59</v>
      </c>
      <c r="M290" t="s">
        <v>29</v>
      </c>
      <c r="N290">
        <v>6</v>
      </c>
      <c r="O290" t="str">
        <f t="shared" si="4"/>
        <v>Extended</v>
      </c>
    </row>
    <row r="291" spans="1:15" x14ac:dyDescent="0.3">
      <c r="A291" t="s">
        <v>630</v>
      </c>
      <c r="B291" t="s">
        <v>631</v>
      </c>
      <c r="C291">
        <v>85</v>
      </c>
      <c r="D291" t="s">
        <v>25</v>
      </c>
      <c r="E291" s="1">
        <v>45740</v>
      </c>
      <c r="F291" s="1">
        <v>45742</v>
      </c>
      <c r="G291" t="s">
        <v>62</v>
      </c>
      <c r="H291" t="s">
        <v>53</v>
      </c>
      <c r="I291">
        <v>8700</v>
      </c>
      <c r="J291" t="s">
        <v>34</v>
      </c>
      <c r="K291" t="s">
        <v>40</v>
      </c>
      <c r="L291" t="s">
        <v>21</v>
      </c>
      <c r="M291" t="s">
        <v>50</v>
      </c>
      <c r="N291">
        <v>2</v>
      </c>
      <c r="O291" t="str">
        <f t="shared" si="4"/>
        <v>Normal</v>
      </c>
    </row>
    <row r="292" spans="1:15" x14ac:dyDescent="0.3">
      <c r="A292" t="s">
        <v>632</v>
      </c>
      <c r="B292" t="s">
        <v>633</v>
      </c>
      <c r="C292">
        <v>4</v>
      </c>
      <c r="D292" t="s">
        <v>25</v>
      </c>
      <c r="E292" s="1">
        <v>45759</v>
      </c>
      <c r="F292" s="1">
        <v>45773</v>
      </c>
      <c r="G292" t="s">
        <v>17</v>
      </c>
      <c r="H292" t="s">
        <v>73</v>
      </c>
      <c r="I292">
        <v>6391</v>
      </c>
      <c r="J292" t="s">
        <v>34</v>
      </c>
      <c r="K292" t="s">
        <v>40</v>
      </c>
      <c r="L292" t="s">
        <v>55</v>
      </c>
      <c r="M292" t="s">
        <v>29</v>
      </c>
      <c r="N292">
        <v>14</v>
      </c>
      <c r="O292" t="str">
        <f t="shared" si="4"/>
        <v>Extended</v>
      </c>
    </row>
    <row r="293" spans="1:15" x14ac:dyDescent="0.3">
      <c r="A293" t="s">
        <v>634</v>
      </c>
      <c r="B293" t="s">
        <v>635</v>
      </c>
      <c r="C293">
        <v>19</v>
      </c>
      <c r="D293" t="s">
        <v>25</v>
      </c>
      <c r="E293" s="1">
        <v>45711</v>
      </c>
      <c r="F293" s="1">
        <v>45714</v>
      </c>
      <c r="G293" t="s">
        <v>43</v>
      </c>
      <c r="H293" t="s">
        <v>58</v>
      </c>
      <c r="I293">
        <v>2736</v>
      </c>
      <c r="J293" t="s">
        <v>34</v>
      </c>
      <c r="K293" t="s">
        <v>44</v>
      </c>
      <c r="L293" t="s">
        <v>45</v>
      </c>
      <c r="M293" t="s">
        <v>50</v>
      </c>
      <c r="N293">
        <v>3</v>
      </c>
      <c r="O293" t="str">
        <f t="shared" si="4"/>
        <v>Normal</v>
      </c>
    </row>
    <row r="294" spans="1:15" x14ac:dyDescent="0.3">
      <c r="A294" t="s">
        <v>636</v>
      </c>
      <c r="B294" t="s">
        <v>637</v>
      </c>
      <c r="C294">
        <v>7</v>
      </c>
      <c r="D294" t="s">
        <v>25</v>
      </c>
      <c r="E294" s="1">
        <v>45653</v>
      </c>
      <c r="F294" s="1">
        <v>45658</v>
      </c>
      <c r="G294" t="s">
        <v>17</v>
      </c>
      <c r="H294" t="s">
        <v>73</v>
      </c>
      <c r="I294">
        <v>2054</v>
      </c>
      <c r="J294" t="s">
        <v>19</v>
      </c>
      <c r="K294" t="s">
        <v>49</v>
      </c>
      <c r="L294" t="s">
        <v>55</v>
      </c>
      <c r="M294" t="s">
        <v>22</v>
      </c>
      <c r="N294">
        <v>5</v>
      </c>
      <c r="O294" t="str">
        <f t="shared" si="4"/>
        <v>Extended</v>
      </c>
    </row>
    <row r="295" spans="1:15" x14ac:dyDescent="0.3">
      <c r="A295" t="s">
        <v>638</v>
      </c>
      <c r="B295" t="s">
        <v>639</v>
      </c>
      <c r="C295">
        <v>75</v>
      </c>
      <c r="D295" t="s">
        <v>16</v>
      </c>
      <c r="E295" s="1">
        <v>45616</v>
      </c>
      <c r="F295" s="1">
        <v>45618</v>
      </c>
      <c r="G295" t="s">
        <v>62</v>
      </c>
      <c r="H295" t="s">
        <v>89</v>
      </c>
      <c r="I295">
        <v>2112</v>
      </c>
      <c r="J295" t="s">
        <v>34</v>
      </c>
      <c r="K295" t="s">
        <v>44</v>
      </c>
      <c r="L295" t="s">
        <v>28</v>
      </c>
      <c r="M295" t="s">
        <v>22</v>
      </c>
      <c r="N295">
        <v>2</v>
      </c>
      <c r="O295" t="str">
        <f t="shared" si="4"/>
        <v>Normal</v>
      </c>
    </row>
    <row r="296" spans="1:15" x14ac:dyDescent="0.3">
      <c r="A296" t="s">
        <v>640</v>
      </c>
      <c r="B296" t="s">
        <v>641</v>
      </c>
      <c r="C296">
        <v>78</v>
      </c>
      <c r="D296" t="s">
        <v>16</v>
      </c>
      <c r="E296" s="1">
        <v>45590</v>
      </c>
      <c r="F296" s="1">
        <v>45593</v>
      </c>
      <c r="G296" t="s">
        <v>32</v>
      </c>
      <c r="H296" t="s">
        <v>63</v>
      </c>
      <c r="I296">
        <v>5979</v>
      </c>
      <c r="J296" t="s">
        <v>19</v>
      </c>
      <c r="K296" t="s">
        <v>133</v>
      </c>
      <c r="L296" t="s">
        <v>59</v>
      </c>
      <c r="M296" t="s">
        <v>22</v>
      </c>
      <c r="N296">
        <v>3</v>
      </c>
      <c r="O296" t="str">
        <f t="shared" si="4"/>
        <v>Normal</v>
      </c>
    </row>
    <row r="297" spans="1:15" x14ac:dyDescent="0.3">
      <c r="A297" t="s">
        <v>642</v>
      </c>
      <c r="B297" t="s">
        <v>643</v>
      </c>
      <c r="C297">
        <v>60</v>
      </c>
      <c r="D297" t="s">
        <v>25</v>
      </c>
      <c r="E297" s="1">
        <v>45782</v>
      </c>
      <c r="F297" s="1">
        <v>45794</v>
      </c>
      <c r="G297" t="s">
        <v>43</v>
      </c>
      <c r="H297" t="s">
        <v>27</v>
      </c>
      <c r="I297">
        <v>7410</v>
      </c>
      <c r="J297" t="s">
        <v>19</v>
      </c>
      <c r="K297" t="s">
        <v>133</v>
      </c>
      <c r="L297" t="s">
        <v>21</v>
      </c>
      <c r="M297" t="s">
        <v>29</v>
      </c>
      <c r="N297">
        <v>12</v>
      </c>
      <c r="O297" t="str">
        <f t="shared" si="4"/>
        <v>Extended</v>
      </c>
    </row>
    <row r="298" spans="1:15" x14ac:dyDescent="0.3">
      <c r="A298" t="s">
        <v>644</v>
      </c>
      <c r="B298" t="s">
        <v>645</v>
      </c>
      <c r="C298">
        <v>4</v>
      </c>
      <c r="D298" t="s">
        <v>16</v>
      </c>
      <c r="E298" s="1">
        <v>45717</v>
      </c>
      <c r="F298" s="1">
        <v>45727</v>
      </c>
      <c r="G298" t="s">
        <v>62</v>
      </c>
      <c r="H298" t="s">
        <v>73</v>
      </c>
      <c r="I298">
        <v>8332</v>
      </c>
      <c r="J298" t="s">
        <v>34</v>
      </c>
      <c r="K298" t="s">
        <v>133</v>
      </c>
      <c r="L298" t="s">
        <v>21</v>
      </c>
      <c r="M298" t="s">
        <v>22</v>
      </c>
      <c r="N298">
        <v>10</v>
      </c>
      <c r="O298" t="str">
        <f t="shared" si="4"/>
        <v>Extended</v>
      </c>
    </row>
    <row r="299" spans="1:15" x14ac:dyDescent="0.3">
      <c r="A299" t="s">
        <v>646</v>
      </c>
      <c r="B299" t="s">
        <v>647</v>
      </c>
      <c r="C299">
        <v>64</v>
      </c>
      <c r="D299" t="s">
        <v>16</v>
      </c>
      <c r="E299" s="1">
        <v>45640</v>
      </c>
      <c r="F299" s="1">
        <v>45654</v>
      </c>
      <c r="G299" t="s">
        <v>17</v>
      </c>
      <c r="H299" t="s">
        <v>18</v>
      </c>
      <c r="I299">
        <v>7125</v>
      </c>
      <c r="J299" t="s">
        <v>19</v>
      </c>
      <c r="K299" t="s">
        <v>54</v>
      </c>
      <c r="L299" t="s">
        <v>55</v>
      </c>
      <c r="M299" t="s">
        <v>29</v>
      </c>
      <c r="N299">
        <v>14</v>
      </c>
      <c r="O299" t="str">
        <f t="shared" si="4"/>
        <v>Extended</v>
      </c>
    </row>
    <row r="300" spans="1:15" x14ac:dyDescent="0.3">
      <c r="A300" t="s">
        <v>648</v>
      </c>
      <c r="B300" t="s">
        <v>649</v>
      </c>
      <c r="C300">
        <v>41</v>
      </c>
      <c r="D300" t="s">
        <v>16</v>
      </c>
      <c r="E300" s="1">
        <v>45469</v>
      </c>
      <c r="F300" s="1">
        <v>45476</v>
      </c>
      <c r="G300" t="s">
        <v>32</v>
      </c>
      <c r="H300" t="s">
        <v>73</v>
      </c>
      <c r="I300">
        <v>2647</v>
      </c>
      <c r="J300" t="s">
        <v>34</v>
      </c>
      <c r="K300" t="s">
        <v>133</v>
      </c>
      <c r="L300" t="s">
        <v>59</v>
      </c>
      <c r="M300" t="s">
        <v>29</v>
      </c>
      <c r="N300">
        <v>7</v>
      </c>
      <c r="O300" t="str">
        <f t="shared" si="4"/>
        <v>Extended</v>
      </c>
    </row>
    <row r="301" spans="1:15" x14ac:dyDescent="0.3">
      <c r="A301" t="s">
        <v>650</v>
      </c>
      <c r="B301" t="s">
        <v>651</v>
      </c>
      <c r="C301">
        <v>74</v>
      </c>
      <c r="D301" t="s">
        <v>16</v>
      </c>
      <c r="E301" s="1">
        <v>45467</v>
      </c>
      <c r="F301" s="1">
        <v>45469</v>
      </c>
      <c r="G301" t="s">
        <v>26</v>
      </c>
      <c r="H301" t="s">
        <v>89</v>
      </c>
      <c r="I301">
        <v>2350</v>
      </c>
      <c r="J301" t="s">
        <v>19</v>
      </c>
      <c r="K301" t="s">
        <v>20</v>
      </c>
      <c r="L301" t="s">
        <v>78</v>
      </c>
      <c r="M301" t="s">
        <v>50</v>
      </c>
      <c r="N301">
        <v>2</v>
      </c>
      <c r="O301" t="str">
        <f t="shared" si="4"/>
        <v>Normal</v>
      </c>
    </row>
    <row r="302" spans="1:15" x14ac:dyDescent="0.3">
      <c r="A302" t="s">
        <v>652</v>
      </c>
      <c r="B302" t="s">
        <v>653</v>
      </c>
      <c r="C302">
        <v>65</v>
      </c>
      <c r="D302" t="s">
        <v>16</v>
      </c>
      <c r="E302" s="1">
        <v>45594</v>
      </c>
      <c r="F302" s="1">
        <v>45597</v>
      </c>
      <c r="G302" t="s">
        <v>66</v>
      </c>
      <c r="H302" t="s">
        <v>63</v>
      </c>
      <c r="I302">
        <v>4297</v>
      </c>
      <c r="J302" t="s">
        <v>34</v>
      </c>
      <c r="K302" t="s">
        <v>54</v>
      </c>
      <c r="L302" t="s">
        <v>55</v>
      </c>
      <c r="M302" t="s">
        <v>22</v>
      </c>
      <c r="N302">
        <v>3</v>
      </c>
      <c r="O302" t="str">
        <f t="shared" si="4"/>
        <v>Normal</v>
      </c>
    </row>
    <row r="303" spans="1:15" x14ac:dyDescent="0.3">
      <c r="A303" t="s">
        <v>654</v>
      </c>
      <c r="B303" t="s">
        <v>655</v>
      </c>
      <c r="C303">
        <v>70</v>
      </c>
      <c r="D303" t="s">
        <v>16</v>
      </c>
      <c r="E303" s="1">
        <v>45651</v>
      </c>
      <c r="F303" s="1">
        <v>45664</v>
      </c>
      <c r="G303" t="s">
        <v>62</v>
      </c>
      <c r="H303" t="s">
        <v>48</v>
      </c>
      <c r="I303">
        <v>8732</v>
      </c>
      <c r="J303" t="s">
        <v>19</v>
      </c>
      <c r="K303" t="s">
        <v>20</v>
      </c>
      <c r="L303" t="s">
        <v>28</v>
      </c>
      <c r="M303" t="s">
        <v>29</v>
      </c>
      <c r="N303">
        <v>13</v>
      </c>
      <c r="O303" t="str">
        <f t="shared" si="4"/>
        <v>Extended</v>
      </c>
    </row>
    <row r="304" spans="1:15" x14ac:dyDescent="0.3">
      <c r="A304" t="s">
        <v>656</v>
      </c>
      <c r="B304" t="s">
        <v>657</v>
      </c>
      <c r="C304">
        <v>82</v>
      </c>
      <c r="D304" t="s">
        <v>16</v>
      </c>
      <c r="E304" s="1">
        <v>45687</v>
      </c>
      <c r="F304" s="1">
        <v>45697</v>
      </c>
      <c r="G304" t="s">
        <v>26</v>
      </c>
      <c r="H304" t="s">
        <v>48</v>
      </c>
      <c r="I304">
        <v>9299</v>
      </c>
      <c r="J304" t="s">
        <v>34</v>
      </c>
      <c r="K304" t="s">
        <v>44</v>
      </c>
      <c r="L304" t="s">
        <v>45</v>
      </c>
      <c r="M304" t="s">
        <v>50</v>
      </c>
      <c r="N304">
        <v>10</v>
      </c>
      <c r="O304" t="str">
        <f t="shared" si="4"/>
        <v>Extended</v>
      </c>
    </row>
    <row r="305" spans="1:15" x14ac:dyDescent="0.3">
      <c r="A305" t="s">
        <v>658</v>
      </c>
      <c r="B305" t="s">
        <v>659</v>
      </c>
      <c r="C305">
        <v>14</v>
      </c>
      <c r="D305" t="s">
        <v>16</v>
      </c>
      <c r="E305" s="1">
        <v>45677</v>
      </c>
      <c r="F305" s="1">
        <v>45685</v>
      </c>
      <c r="G305" t="s">
        <v>94</v>
      </c>
      <c r="H305" t="s">
        <v>48</v>
      </c>
      <c r="I305">
        <v>8014</v>
      </c>
      <c r="J305" t="s">
        <v>34</v>
      </c>
      <c r="K305" t="s">
        <v>35</v>
      </c>
      <c r="L305" t="s">
        <v>21</v>
      </c>
      <c r="M305" t="s">
        <v>29</v>
      </c>
      <c r="N305">
        <v>8</v>
      </c>
      <c r="O305" t="str">
        <f t="shared" si="4"/>
        <v>Extended</v>
      </c>
    </row>
    <row r="306" spans="1:15" x14ac:dyDescent="0.3">
      <c r="A306" t="s">
        <v>660</v>
      </c>
      <c r="B306" t="s">
        <v>661</v>
      </c>
      <c r="C306">
        <v>43</v>
      </c>
      <c r="D306" t="s">
        <v>16</v>
      </c>
      <c r="E306" s="1">
        <v>45742</v>
      </c>
      <c r="F306" s="1">
        <v>45755</v>
      </c>
      <c r="G306" t="s">
        <v>17</v>
      </c>
      <c r="H306" t="s">
        <v>58</v>
      </c>
      <c r="I306">
        <v>7923</v>
      </c>
      <c r="J306" t="s">
        <v>19</v>
      </c>
      <c r="K306" t="s">
        <v>44</v>
      </c>
      <c r="L306" t="s">
        <v>55</v>
      </c>
      <c r="M306" t="s">
        <v>29</v>
      </c>
      <c r="N306">
        <v>13</v>
      </c>
      <c r="O306" t="str">
        <f t="shared" si="4"/>
        <v>Extended</v>
      </c>
    </row>
    <row r="307" spans="1:15" x14ac:dyDescent="0.3">
      <c r="A307" t="s">
        <v>662</v>
      </c>
      <c r="B307" t="s">
        <v>663</v>
      </c>
      <c r="C307">
        <v>82</v>
      </c>
      <c r="D307" t="s">
        <v>16</v>
      </c>
      <c r="E307" s="1">
        <v>45801</v>
      </c>
      <c r="F307" s="1">
        <v>45807</v>
      </c>
      <c r="G307" t="s">
        <v>17</v>
      </c>
      <c r="H307" t="s">
        <v>27</v>
      </c>
      <c r="I307">
        <v>9020</v>
      </c>
      <c r="J307" t="s">
        <v>34</v>
      </c>
      <c r="K307" t="s">
        <v>20</v>
      </c>
      <c r="L307" t="s">
        <v>21</v>
      </c>
      <c r="M307" t="s">
        <v>29</v>
      </c>
      <c r="N307">
        <v>6</v>
      </c>
      <c r="O307" t="str">
        <f t="shared" si="4"/>
        <v>Extended</v>
      </c>
    </row>
    <row r="308" spans="1:15" x14ac:dyDescent="0.3">
      <c r="A308" t="s">
        <v>664</v>
      </c>
      <c r="B308" t="s">
        <v>665</v>
      </c>
      <c r="C308">
        <v>12</v>
      </c>
      <c r="D308" t="s">
        <v>16</v>
      </c>
      <c r="E308" s="1">
        <v>45649</v>
      </c>
      <c r="F308" s="1">
        <v>45655</v>
      </c>
      <c r="G308" t="s">
        <v>94</v>
      </c>
      <c r="H308" t="s">
        <v>63</v>
      </c>
      <c r="I308">
        <v>9590</v>
      </c>
      <c r="J308" t="s">
        <v>19</v>
      </c>
      <c r="K308" t="s">
        <v>133</v>
      </c>
      <c r="L308" t="s">
        <v>59</v>
      </c>
      <c r="M308" t="s">
        <v>29</v>
      </c>
      <c r="N308">
        <v>6</v>
      </c>
      <c r="O308" t="str">
        <f t="shared" si="4"/>
        <v>Extended</v>
      </c>
    </row>
    <row r="309" spans="1:15" x14ac:dyDescent="0.3">
      <c r="A309" t="s">
        <v>666</v>
      </c>
      <c r="B309" t="s">
        <v>667</v>
      </c>
      <c r="C309">
        <v>10</v>
      </c>
      <c r="D309" t="s">
        <v>25</v>
      </c>
      <c r="E309" s="1">
        <v>45502</v>
      </c>
      <c r="F309" s="1">
        <v>45511</v>
      </c>
      <c r="G309" t="s">
        <v>62</v>
      </c>
      <c r="H309" t="s">
        <v>33</v>
      </c>
      <c r="I309">
        <v>7069</v>
      </c>
      <c r="J309" t="s">
        <v>19</v>
      </c>
      <c r="K309" t="s">
        <v>40</v>
      </c>
      <c r="L309" t="s">
        <v>28</v>
      </c>
      <c r="M309" t="s">
        <v>29</v>
      </c>
      <c r="N309">
        <v>9</v>
      </c>
      <c r="O309" t="str">
        <f t="shared" si="4"/>
        <v>Extended</v>
      </c>
    </row>
    <row r="310" spans="1:15" x14ac:dyDescent="0.3">
      <c r="A310" t="s">
        <v>668</v>
      </c>
      <c r="B310" t="s">
        <v>669</v>
      </c>
      <c r="C310">
        <v>33</v>
      </c>
      <c r="D310" t="s">
        <v>16</v>
      </c>
      <c r="E310" s="1">
        <v>45739</v>
      </c>
      <c r="F310" s="1">
        <v>45749</v>
      </c>
      <c r="G310" t="s">
        <v>62</v>
      </c>
      <c r="H310" t="s">
        <v>27</v>
      </c>
      <c r="I310">
        <v>6784</v>
      </c>
      <c r="J310" t="s">
        <v>19</v>
      </c>
      <c r="K310" t="s">
        <v>54</v>
      </c>
      <c r="L310" t="s">
        <v>28</v>
      </c>
      <c r="M310" t="s">
        <v>22</v>
      </c>
      <c r="N310">
        <v>10</v>
      </c>
      <c r="O310" t="str">
        <f t="shared" si="4"/>
        <v>Extended</v>
      </c>
    </row>
    <row r="311" spans="1:15" x14ac:dyDescent="0.3">
      <c r="A311" t="s">
        <v>670</v>
      </c>
      <c r="B311" t="s">
        <v>671</v>
      </c>
      <c r="C311">
        <v>86</v>
      </c>
      <c r="D311" t="s">
        <v>25</v>
      </c>
      <c r="E311" s="1">
        <v>45769</v>
      </c>
      <c r="F311" s="1">
        <v>45780</v>
      </c>
      <c r="G311" t="s">
        <v>26</v>
      </c>
      <c r="H311" t="s">
        <v>39</v>
      </c>
      <c r="I311">
        <v>1876</v>
      </c>
      <c r="J311" t="s">
        <v>34</v>
      </c>
      <c r="K311" t="s">
        <v>54</v>
      </c>
      <c r="L311" t="s">
        <v>45</v>
      </c>
      <c r="M311" t="s">
        <v>50</v>
      </c>
      <c r="N311">
        <v>11</v>
      </c>
      <c r="O311" t="str">
        <f t="shared" si="4"/>
        <v>Extended</v>
      </c>
    </row>
    <row r="312" spans="1:15" x14ac:dyDescent="0.3">
      <c r="A312" t="s">
        <v>672</v>
      </c>
      <c r="B312" t="s">
        <v>673</v>
      </c>
      <c r="C312">
        <v>58</v>
      </c>
      <c r="D312" t="s">
        <v>16</v>
      </c>
      <c r="E312" s="1">
        <v>45637</v>
      </c>
      <c r="F312" s="1">
        <v>45644</v>
      </c>
      <c r="G312" t="s">
        <v>32</v>
      </c>
      <c r="H312" t="s">
        <v>39</v>
      </c>
      <c r="I312">
        <v>6434</v>
      </c>
      <c r="J312" t="s">
        <v>19</v>
      </c>
      <c r="K312" t="s">
        <v>133</v>
      </c>
      <c r="L312" t="s">
        <v>55</v>
      </c>
      <c r="M312" t="s">
        <v>29</v>
      </c>
      <c r="N312">
        <v>7</v>
      </c>
      <c r="O312" t="str">
        <f t="shared" si="4"/>
        <v>Extended</v>
      </c>
    </row>
    <row r="313" spans="1:15" x14ac:dyDescent="0.3">
      <c r="A313" t="s">
        <v>674</v>
      </c>
      <c r="B313" t="s">
        <v>675</v>
      </c>
      <c r="C313">
        <v>18</v>
      </c>
      <c r="D313" t="s">
        <v>16</v>
      </c>
      <c r="E313" s="1">
        <v>45737</v>
      </c>
      <c r="F313" s="1">
        <v>45750</v>
      </c>
      <c r="G313" t="s">
        <v>17</v>
      </c>
      <c r="H313" t="s">
        <v>53</v>
      </c>
      <c r="I313">
        <v>3602</v>
      </c>
      <c r="J313" t="s">
        <v>19</v>
      </c>
      <c r="K313" t="s">
        <v>20</v>
      </c>
      <c r="L313" t="s">
        <v>59</v>
      </c>
      <c r="M313" t="s">
        <v>29</v>
      </c>
      <c r="N313">
        <v>13</v>
      </c>
      <c r="O313" t="str">
        <f t="shared" si="4"/>
        <v>Extended</v>
      </c>
    </row>
    <row r="314" spans="1:15" x14ac:dyDescent="0.3">
      <c r="A314" t="s">
        <v>676</v>
      </c>
      <c r="B314" t="s">
        <v>677</v>
      </c>
      <c r="C314">
        <v>70</v>
      </c>
      <c r="D314" t="s">
        <v>16</v>
      </c>
      <c r="E314" s="1">
        <v>45537</v>
      </c>
      <c r="F314" s="1">
        <v>45540</v>
      </c>
      <c r="G314" t="s">
        <v>66</v>
      </c>
      <c r="H314" t="s">
        <v>89</v>
      </c>
      <c r="I314">
        <v>6123</v>
      </c>
      <c r="J314" t="s">
        <v>34</v>
      </c>
      <c r="K314" t="s">
        <v>54</v>
      </c>
      <c r="L314" t="s">
        <v>28</v>
      </c>
      <c r="M314" t="s">
        <v>50</v>
      </c>
      <c r="N314">
        <v>3</v>
      </c>
      <c r="O314" t="str">
        <f t="shared" si="4"/>
        <v>Normal</v>
      </c>
    </row>
    <row r="315" spans="1:15" x14ac:dyDescent="0.3">
      <c r="A315" t="s">
        <v>678</v>
      </c>
      <c r="B315" t="s">
        <v>679</v>
      </c>
      <c r="C315">
        <v>16</v>
      </c>
      <c r="D315" t="s">
        <v>25</v>
      </c>
      <c r="E315" s="1">
        <v>45693</v>
      </c>
      <c r="F315" s="1">
        <v>45706</v>
      </c>
      <c r="G315" t="s">
        <v>43</v>
      </c>
      <c r="H315" t="s">
        <v>73</v>
      </c>
      <c r="I315">
        <v>2823</v>
      </c>
      <c r="J315" t="s">
        <v>19</v>
      </c>
      <c r="K315" t="s">
        <v>44</v>
      </c>
      <c r="L315" t="s">
        <v>28</v>
      </c>
      <c r="M315" t="s">
        <v>22</v>
      </c>
      <c r="N315">
        <v>13</v>
      </c>
      <c r="O315" t="str">
        <f t="shared" si="4"/>
        <v>Extended</v>
      </c>
    </row>
    <row r="316" spans="1:15" x14ac:dyDescent="0.3">
      <c r="A316" t="s">
        <v>680</v>
      </c>
      <c r="B316" t="s">
        <v>681</v>
      </c>
      <c r="C316">
        <v>49</v>
      </c>
      <c r="D316" t="s">
        <v>25</v>
      </c>
      <c r="E316" s="1">
        <v>45591</v>
      </c>
      <c r="F316" s="1">
        <v>45602</v>
      </c>
      <c r="G316" t="s">
        <v>26</v>
      </c>
      <c r="H316" t="s">
        <v>39</v>
      </c>
      <c r="I316">
        <v>4608</v>
      </c>
      <c r="J316" t="s">
        <v>19</v>
      </c>
      <c r="K316" t="s">
        <v>20</v>
      </c>
      <c r="L316" t="s">
        <v>78</v>
      </c>
      <c r="M316" t="s">
        <v>50</v>
      </c>
      <c r="N316">
        <v>11</v>
      </c>
      <c r="O316" t="str">
        <f t="shared" si="4"/>
        <v>Extended</v>
      </c>
    </row>
    <row r="317" spans="1:15" x14ac:dyDescent="0.3">
      <c r="A317" t="s">
        <v>682</v>
      </c>
      <c r="B317" t="s">
        <v>683</v>
      </c>
      <c r="C317">
        <v>43</v>
      </c>
      <c r="D317" t="s">
        <v>25</v>
      </c>
      <c r="E317" s="1">
        <v>45702</v>
      </c>
      <c r="F317" s="1">
        <v>45704</v>
      </c>
      <c r="G317" t="s">
        <v>43</v>
      </c>
      <c r="H317" t="s">
        <v>73</v>
      </c>
      <c r="I317">
        <v>8717</v>
      </c>
      <c r="J317" t="s">
        <v>34</v>
      </c>
      <c r="K317" t="s">
        <v>133</v>
      </c>
      <c r="L317" t="s">
        <v>28</v>
      </c>
      <c r="M317" t="s">
        <v>22</v>
      </c>
      <c r="N317">
        <v>2</v>
      </c>
      <c r="O317" t="str">
        <f t="shared" si="4"/>
        <v>Normal</v>
      </c>
    </row>
    <row r="318" spans="1:15" x14ac:dyDescent="0.3">
      <c r="A318" t="s">
        <v>684</v>
      </c>
      <c r="B318" t="s">
        <v>685</v>
      </c>
      <c r="C318">
        <v>41</v>
      </c>
      <c r="D318" t="s">
        <v>16</v>
      </c>
      <c r="E318" s="1">
        <v>45639</v>
      </c>
      <c r="F318" s="1">
        <v>45647</v>
      </c>
      <c r="G318" t="s">
        <v>17</v>
      </c>
      <c r="H318" t="s">
        <v>39</v>
      </c>
      <c r="I318">
        <v>9690</v>
      </c>
      <c r="J318" t="s">
        <v>34</v>
      </c>
      <c r="K318" t="s">
        <v>54</v>
      </c>
      <c r="L318" t="s">
        <v>21</v>
      </c>
      <c r="M318" t="s">
        <v>50</v>
      </c>
      <c r="N318">
        <v>8</v>
      </c>
      <c r="O318" t="str">
        <f t="shared" si="4"/>
        <v>Extended</v>
      </c>
    </row>
    <row r="319" spans="1:15" x14ac:dyDescent="0.3">
      <c r="A319" t="s">
        <v>686</v>
      </c>
      <c r="B319" t="s">
        <v>687</v>
      </c>
      <c r="C319">
        <v>37</v>
      </c>
      <c r="D319" t="s">
        <v>25</v>
      </c>
      <c r="E319" s="1">
        <v>45568</v>
      </c>
      <c r="F319" s="1">
        <v>45570</v>
      </c>
      <c r="G319" t="s">
        <v>26</v>
      </c>
      <c r="H319" t="s">
        <v>39</v>
      </c>
      <c r="I319">
        <v>8037</v>
      </c>
      <c r="J319" t="s">
        <v>19</v>
      </c>
      <c r="K319" t="s">
        <v>44</v>
      </c>
      <c r="L319" t="s">
        <v>59</v>
      </c>
      <c r="M319" t="s">
        <v>50</v>
      </c>
      <c r="N319">
        <v>2</v>
      </c>
      <c r="O319" t="str">
        <f t="shared" si="4"/>
        <v>Normal</v>
      </c>
    </row>
    <row r="320" spans="1:15" x14ac:dyDescent="0.3">
      <c r="A320" t="s">
        <v>688</v>
      </c>
      <c r="B320" t="s">
        <v>689</v>
      </c>
      <c r="C320">
        <v>79</v>
      </c>
      <c r="D320" t="s">
        <v>16</v>
      </c>
      <c r="E320" s="1">
        <v>45754</v>
      </c>
      <c r="F320" s="1">
        <v>45759</v>
      </c>
      <c r="G320" t="s">
        <v>62</v>
      </c>
      <c r="H320" t="s">
        <v>33</v>
      </c>
      <c r="I320">
        <v>3411</v>
      </c>
      <c r="J320" t="s">
        <v>19</v>
      </c>
      <c r="K320" t="s">
        <v>20</v>
      </c>
      <c r="L320" t="s">
        <v>21</v>
      </c>
      <c r="M320" t="s">
        <v>29</v>
      </c>
      <c r="N320">
        <v>5</v>
      </c>
      <c r="O320" t="str">
        <f t="shared" si="4"/>
        <v>Extended</v>
      </c>
    </row>
    <row r="321" spans="1:15" x14ac:dyDescent="0.3">
      <c r="A321" t="s">
        <v>690</v>
      </c>
      <c r="B321" t="s">
        <v>691</v>
      </c>
      <c r="C321">
        <v>17</v>
      </c>
      <c r="D321" t="s">
        <v>25</v>
      </c>
      <c r="E321" s="1">
        <v>45604</v>
      </c>
      <c r="F321" s="1">
        <v>45611</v>
      </c>
      <c r="G321" t="s">
        <v>43</v>
      </c>
      <c r="H321" t="s">
        <v>27</v>
      </c>
      <c r="I321">
        <v>4634</v>
      </c>
      <c r="J321" t="s">
        <v>34</v>
      </c>
      <c r="K321" t="s">
        <v>40</v>
      </c>
      <c r="L321" t="s">
        <v>78</v>
      </c>
      <c r="M321" t="s">
        <v>50</v>
      </c>
      <c r="N321">
        <v>7</v>
      </c>
      <c r="O321" t="str">
        <f t="shared" si="4"/>
        <v>Extended</v>
      </c>
    </row>
    <row r="322" spans="1:15" x14ac:dyDescent="0.3">
      <c r="A322" t="s">
        <v>692</v>
      </c>
      <c r="B322" t="s">
        <v>693</v>
      </c>
      <c r="C322">
        <v>4</v>
      </c>
      <c r="D322" t="s">
        <v>16</v>
      </c>
      <c r="E322" s="1">
        <v>45545</v>
      </c>
      <c r="F322" s="1">
        <v>45546</v>
      </c>
      <c r="G322" t="s">
        <v>32</v>
      </c>
      <c r="H322" t="s">
        <v>48</v>
      </c>
      <c r="I322">
        <v>9117</v>
      </c>
      <c r="J322" t="s">
        <v>34</v>
      </c>
      <c r="K322" t="s">
        <v>40</v>
      </c>
      <c r="L322" t="s">
        <v>21</v>
      </c>
      <c r="M322" t="s">
        <v>29</v>
      </c>
      <c r="N322">
        <v>1</v>
      </c>
      <c r="O322" t="str">
        <f t="shared" si="4"/>
        <v>Normal</v>
      </c>
    </row>
    <row r="323" spans="1:15" x14ac:dyDescent="0.3">
      <c r="A323" t="s">
        <v>694</v>
      </c>
      <c r="B323" t="s">
        <v>695</v>
      </c>
      <c r="C323">
        <v>39</v>
      </c>
      <c r="D323" t="s">
        <v>25</v>
      </c>
      <c r="E323" s="1">
        <v>45776</v>
      </c>
      <c r="F323" s="1">
        <v>45787</v>
      </c>
      <c r="G323" t="s">
        <v>32</v>
      </c>
      <c r="H323" t="s">
        <v>18</v>
      </c>
      <c r="I323">
        <v>2896</v>
      </c>
      <c r="J323" t="s">
        <v>34</v>
      </c>
      <c r="K323" t="s">
        <v>44</v>
      </c>
      <c r="L323" t="s">
        <v>55</v>
      </c>
      <c r="M323" t="s">
        <v>22</v>
      </c>
      <c r="N323">
        <v>11</v>
      </c>
      <c r="O323" t="str">
        <f t="shared" ref="O323:O386" si="5">IF(N323&gt;3,"Extended","Normal")</f>
        <v>Extended</v>
      </c>
    </row>
    <row r="324" spans="1:15" x14ac:dyDescent="0.3">
      <c r="A324" t="s">
        <v>696</v>
      </c>
      <c r="B324" t="s">
        <v>697</v>
      </c>
      <c r="C324">
        <v>7</v>
      </c>
      <c r="D324" t="s">
        <v>16</v>
      </c>
      <c r="E324" s="1">
        <v>45619</v>
      </c>
      <c r="F324" s="1">
        <v>45628</v>
      </c>
      <c r="G324" t="s">
        <v>94</v>
      </c>
      <c r="H324" t="s">
        <v>33</v>
      </c>
      <c r="I324">
        <v>9706</v>
      </c>
      <c r="J324" t="s">
        <v>34</v>
      </c>
      <c r="K324" t="s">
        <v>54</v>
      </c>
      <c r="L324" t="s">
        <v>78</v>
      </c>
      <c r="M324" t="s">
        <v>29</v>
      </c>
      <c r="N324">
        <v>9</v>
      </c>
      <c r="O324" t="str">
        <f t="shared" si="5"/>
        <v>Extended</v>
      </c>
    </row>
    <row r="325" spans="1:15" x14ac:dyDescent="0.3">
      <c r="A325" t="s">
        <v>698</v>
      </c>
      <c r="B325" t="s">
        <v>699</v>
      </c>
      <c r="C325">
        <v>87</v>
      </c>
      <c r="D325" t="s">
        <v>25</v>
      </c>
      <c r="E325" s="1">
        <v>45458</v>
      </c>
      <c r="F325" s="1">
        <v>45464</v>
      </c>
      <c r="G325" t="s">
        <v>43</v>
      </c>
      <c r="H325" t="s">
        <v>33</v>
      </c>
      <c r="I325">
        <v>1908</v>
      </c>
      <c r="J325" t="s">
        <v>19</v>
      </c>
      <c r="K325" t="s">
        <v>44</v>
      </c>
      <c r="L325" t="s">
        <v>55</v>
      </c>
      <c r="M325" t="s">
        <v>29</v>
      </c>
      <c r="N325">
        <v>6</v>
      </c>
      <c r="O325" t="str">
        <f t="shared" si="5"/>
        <v>Extended</v>
      </c>
    </row>
    <row r="326" spans="1:15" x14ac:dyDescent="0.3">
      <c r="A326" t="s">
        <v>700</v>
      </c>
      <c r="B326" t="s">
        <v>701</v>
      </c>
      <c r="C326">
        <v>54</v>
      </c>
      <c r="D326" t="s">
        <v>25</v>
      </c>
      <c r="E326" s="1">
        <v>45750</v>
      </c>
      <c r="F326" s="1">
        <v>45754</v>
      </c>
      <c r="G326" t="s">
        <v>32</v>
      </c>
      <c r="H326" t="s">
        <v>73</v>
      </c>
      <c r="I326">
        <v>8160</v>
      </c>
      <c r="J326" t="s">
        <v>34</v>
      </c>
      <c r="K326" t="s">
        <v>54</v>
      </c>
      <c r="L326" t="s">
        <v>45</v>
      </c>
      <c r="M326" t="s">
        <v>29</v>
      </c>
      <c r="N326">
        <v>4</v>
      </c>
      <c r="O326" t="str">
        <f t="shared" si="5"/>
        <v>Extended</v>
      </c>
    </row>
    <row r="327" spans="1:15" x14ac:dyDescent="0.3">
      <c r="A327" t="s">
        <v>702</v>
      </c>
      <c r="B327" t="s">
        <v>703</v>
      </c>
      <c r="C327">
        <v>66</v>
      </c>
      <c r="D327" t="s">
        <v>16</v>
      </c>
      <c r="E327" s="1">
        <v>45463</v>
      </c>
      <c r="F327" s="1">
        <v>45477</v>
      </c>
      <c r="G327" t="s">
        <v>62</v>
      </c>
      <c r="H327" t="s">
        <v>27</v>
      </c>
      <c r="I327">
        <v>8809</v>
      </c>
      <c r="J327" t="s">
        <v>34</v>
      </c>
      <c r="K327" t="s">
        <v>49</v>
      </c>
      <c r="L327" t="s">
        <v>28</v>
      </c>
      <c r="M327" t="s">
        <v>50</v>
      </c>
      <c r="N327">
        <v>14</v>
      </c>
      <c r="O327" t="str">
        <f t="shared" si="5"/>
        <v>Extended</v>
      </c>
    </row>
    <row r="328" spans="1:15" x14ac:dyDescent="0.3">
      <c r="A328" t="s">
        <v>704</v>
      </c>
      <c r="B328" t="s">
        <v>705</v>
      </c>
      <c r="C328">
        <v>60</v>
      </c>
      <c r="D328" t="s">
        <v>25</v>
      </c>
      <c r="E328" s="1">
        <v>45559</v>
      </c>
      <c r="F328" s="1">
        <v>45566</v>
      </c>
      <c r="G328" t="s">
        <v>26</v>
      </c>
      <c r="H328" t="s">
        <v>53</v>
      </c>
      <c r="I328">
        <v>7229</v>
      </c>
      <c r="J328" t="s">
        <v>34</v>
      </c>
      <c r="K328" t="s">
        <v>49</v>
      </c>
      <c r="L328" t="s">
        <v>78</v>
      </c>
      <c r="M328" t="s">
        <v>29</v>
      </c>
      <c r="N328">
        <v>7</v>
      </c>
      <c r="O328" t="str">
        <f t="shared" si="5"/>
        <v>Extended</v>
      </c>
    </row>
    <row r="329" spans="1:15" x14ac:dyDescent="0.3">
      <c r="A329" t="s">
        <v>706</v>
      </c>
      <c r="B329" t="s">
        <v>707</v>
      </c>
      <c r="C329">
        <v>61</v>
      </c>
      <c r="D329" t="s">
        <v>16</v>
      </c>
      <c r="E329" s="1">
        <v>45556</v>
      </c>
      <c r="F329" s="1">
        <v>45565</v>
      </c>
      <c r="G329" t="s">
        <v>32</v>
      </c>
      <c r="H329" t="s">
        <v>39</v>
      </c>
      <c r="I329">
        <v>5062</v>
      </c>
      <c r="J329" t="s">
        <v>34</v>
      </c>
      <c r="K329" t="s">
        <v>20</v>
      </c>
      <c r="L329" t="s">
        <v>78</v>
      </c>
      <c r="M329" t="s">
        <v>22</v>
      </c>
      <c r="N329">
        <v>9</v>
      </c>
      <c r="O329" t="str">
        <f t="shared" si="5"/>
        <v>Extended</v>
      </c>
    </row>
    <row r="330" spans="1:15" x14ac:dyDescent="0.3">
      <c r="A330" t="s">
        <v>708</v>
      </c>
      <c r="B330" t="s">
        <v>709</v>
      </c>
      <c r="C330">
        <v>43</v>
      </c>
      <c r="D330" t="s">
        <v>25</v>
      </c>
      <c r="E330" s="1">
        <v>45490</v>
      </c>
      <c r="F330" s="1">
        <v>45499</v>
      </c>
      <c r="G330" t="s">
        <v>17</v>
      </c>
      <c r="H330" t="s">
        <v>27</v>
      </c>
      <c r="I330">
        <v>5439</v>
      </c>
      <c r="J330" t="s">
        <v>34</v>
      </c>
      <c r="K330" t="s">
        <v>44</v>
      </c>
      <c r="L330" t="s">
        <v>21</v>
      </c>
      <c r="M330" t="s">
        <v>22</v>
      </c>
      <c r="N330">
        <v>9</v>
      </c>
      <c r="O330" t="str">
        <f t="shared" si="5"/>
        <v>Extended</v>
      </c>
    </row>
    <row r="331" spans="1:15" x14ac:dyDescent="0.3">
      <c r="A331" t="s">
        <v>710</v>
      </c>
      <c r="B331" t="s">
        <v>711</v>
      </c>
      <c r="C331">
        <v>57</v>
      </c>
      <c r="D331" t="s">
        <v>25</v>
      </c>
      <c r="E331" s="1">
        <v>45665</v>
      </c>
      <c r="F331" s="1">
        <v>45678</v>
      </c>
      <c r="G331" t="s">
        <v>94</v>
      </c>
      <c r="H331" t="s">
        <v>48</v>
      </c>
      <c r="I331">
        <v>7441</v>
      </c>
      <c r="J331" t="s">
        <v>19</v>
      </c>
      <c r="K331" t="s">
        <v>40</v>
      </c>
      <c r="L331" t="s">
        <v>28</v>
      </c>
      <c r="M331" t="s">
        <v>50</v>
      </c>
      <c r="N331">
        <v>13</v>
      </c>
      <c r="O331" t="str">
        <f t="shared" si="5"/>
        <v>Extended</v>
      </c>
    </row>
    <row r="332" spans="1:15" x14ac:dyDescent="0.3">
      <c r="A332" t="s">
        <v>712</v>
      </c>
      <c r="B332" t="s">
        <v>713</v>
      </c>
      <c r="C332">
        <v>23</v>
      </c>
      <c r="D332" t="s">
        <v>16</v>
      </c>
      <c r="E332" s="1">
        <v>45703</v>
      </c>
      <c r="F332" s="1">
        <v>45707</v>
      </c>
      <c r="G332" t="s">
        <v>62</v>
      </c>
      <c r="H332" t="s">
        <v>89</v>
      </c>
      <c r="I332">
        <v>8140</v>
      </c>
      <c r="J332" t="s">
        <v>19</v>
      </c>
      <c r="K332" t="s">
        <v>49</v>
      </c>
      <c r="L332" t="s">
        <v>78</v>
      </c>
      <c r="M332" t="s">
        <v>29</v>
      </c>
      <c r="N332">
        <v>4</v>
      </c>
      <c r="O332" t="str">
        <f t="shared" si="5"/>
        <v>Extended</v>
      </c>
    </row>
    <row r="333" spans="1:15" x14ac:dyDescent="0.3">
      <c r="A333" t="s">
        <v>714</v>
      </c>
      <c r="B333" t="s">
        <v>715</v>
      </c>
      <c r="C333">
        <v>87</v>
      </c>
      <c r="D333" t="s">
        <v>25</v>
      </c>
      <c r="E333" s="1">
        <v>45681</v>
      </c>
      <c r="F333" s="1">
        <v>45685</v>
      </c>
      <c r="G333" t="s">
        <v>17</v>
      </c>
      <c r="H333" t="s">
        <v>63</v>
      </c>
      <c r="I333">
        <v>2590</v>
      </c>
      <c r="J333" t="s">
        <v>34</v>
      </c>
      <c r="K333" t="s">
        <v>44</v>
      </c>
      <c r="L333" t="s">
        <v>36</v>
      </c>
      <c r="M333" t="s">
        <v>22</v>
      </c>
      <c r="N333">
        <v>4</v>
      </c>
      <c r="O333" t="str">
        <f t="shared" si="5"/>
        <v>Extended</v>
      </c>
    </row>
    <row r="334" spans="1:15" x14ac:dyDescent="0.3">
      <c r="A334" t="s">
        <v>716</v>
      </c>
      <c r="B334" t="s">
        <v>717</v>
      </c>
      <c r="C334">
        <v>30</v>
      </c>
      <c r="D334" t="s">
        <v>16</v>
      </c>
      <c r="E334" s="1">
        <v>45548</v>
      </c>
      <c r="F334" s="1">
        <v>45557</v>
      </c>
      <c r="G334" t="s">
        <v>94</v>
      </c>
      <c r="H334" t="s">
        <v>27</v>
      </c>
      <c r="I334">
        <v>5812</v>
      </c>
      <c r="J334" t="s">
        <v>34</v>
      </c>
      <c r="K334" t="s">
        <v>49</v>
      </c>
      <c r="L334" t="s">
        <v>78</v>
      </c>
      <c r="M334" t="s">
        <v>29</v>
      </c>
      <c r="N334">
        <v>9</v>
      </c>
      <c r="O334" t="str">
        <f t="shared" si="5"/>
        <v>Extended</v>
      </c>
    </row>
    <row r="335" spans="1:15" x14ac:dyDescent="0.3">
      <c r="A335" t="s">
        <v>718</v>
      </c>
      <c r="B335" t="s">
        <v>719</v>
      </c>
      <c r="C335">
        <v>33</v>
      </c>
      <c r="D335" t="s">
        <v>16</v>
      </c>
      <c r="E335" s="1">
        <v>45621</v>
      </c>
      <c r="F335" s="1">
        <v>45623</v>
      </c>
      <c r="G335" t="s">
        <v>62</v>
      </c>
      <c r="H335" t="s">
        <v>27</v>
      </c>
      <c r="I335">
        <v>6813</v>
      </c>
      <c r="J335" t="s">
        <v>19</v>
      </c>
      <c r="K335" t="s">
        <v>54</v>
      </c>
      <c r="L335" t="s">
        <v>55</v>
      </c>
      <c r="M335" t="s">
        <v>29</v>
      </c>
      <c r="N335">
        <v>2</v>
      </c>
      <c r="O335" t="str">
        <f t="shared" si="5"/>
        <v>Normal</v>
      </c>
    </row>
    <row r="336" spans="1:15" x14ac:dyDescent="0.3">
      <c r="A336" t="s">
        <v>720</v>
      </c>
      <c r="B336" t="s">
        <v>721</v>
      </c>
      <c r="C336">
        <v>43</v>
      </c>
      <c r="D336" t="s">
        <v>25</v>
      </c>
      <c r="E336" s="1">
        <v>45590</v>
      </c>
      <c r="F336" s="1">
        <v>45603</v>
      </c>
      <c r="G336" t="s">
        <v>66</v>
      </c>
      <c r="H336" t="s">
        <v>39</v>
      </c>
      <c r="I336">
        <v>8275</v>
      </c>
      <c r="J336" t="s">
        <v>19</v>
      </c>
      <c r="K336" t="s">
        <v>133</v>
      </c>
      <c r="L336" t="s">
        <v>21</v>
      </c>
      <c r="M336" t="s">
        <v>50</v>
      </c>
      <c r="N336">
        <v>13</v>
      </c>
      <c r="O336" t="str">
        <f t="shared" si="5"/>
        <v>Extended</v>
      </c>
    </row>
    <row r="337" spans="1:15" x14ac:dyDescent="0.3">
      <c r="A337" t="s">
        <v>722</v>
      </c>
      <c r="B337" t="s">
        <v>723</v>
      </c>
      <c r="C337">
        <v>84</v>
      </c>
      <c r="D337" t="s">
        <v>25</v>
      </c>
      <c r="E337" s="1">
        <v>45445</v>
      </c>
      <c r="F337" s="1">
        <v>45446</v>
      </c>
      <c r="G337" t="s">
        <v>62</v>
      </c>
      <c r="H337" t="s">
        <v>53</v>
      </c>
      <c r="I337">
        <v>2723</v>
      </c>
      <c r="J337" t="s">
        <v>19</v>
      </c>
      <c r="K337" t="s">
        <v>20</v>
      </c>
      <c r="L337" t="s">
        <v>21</v>
      </c>
      <c r="M337" t="s">
        <v>29</v>
      </c>
      <c r="N337">
        <v>1</v>
      </c>
      <c r="O337" t="str">
        <f t="shared" si="5"/>
        <v>Normal</v>
      </c>
    </row>
    <row r="338" spans="1:15" x14ac:dyDescent="0.3">
      <c r="A338" t="s">
        <v>724</v>
      </c>
      <c r="B338" t="s">
        <v>725</v>
      </c>
      <c r="C338">
        <v>74</v>
      </c>
      <c r="D338" t="s">
        <v>16</v>
      </c>
      <c r="E338" s="1">
        <v>45799</v>
      </c>
      <c r="F338" s="1">
        <v>45812</v>
      </c>
      <c r="G338" t="s">
        <v>62</v>
      </c>
      <c r="H338" t="s">
        <v>89</v>
      </c>
      <c r="I338">
        <v>9695</v>
      </c>
      <c r="J338" t="s">
        <v>19</v>
      </c>
      <c r="K338" t="s">
        <v>20</v>
      </c>
      <c r="L338" t="s">
        <v>78</v>
      </c>
      <c r="M338" t="s">
        <v>22</v>
      </c>
      <c r="N338">
        <v>13</v>
      </c>
      <c r="O338" t="str">
        <f t="shared" si="5"/>
        <v>Extended</v>
      </c>
    </row>
    <row r="339" spans="1:15" x14ac:dyDescent="0.3">
      <c r="A339" t="s">
        <v>726</v>
      </c>
      <c r="B339" t="s">
        <v>727</v>
      </c>
      <c r="C339">
        <v>22</v>
      </c>
      <c r="D339" t="s">
        <v>16</v>
      </c>
      <c r="E339" s="1">
        <v>45730</v>
      </c>
      <c r="F339" s="1">
        <v>45741</v>
      </c>
      <c r="G339" t="s">
        <v>94</v>
      </c>
      <c r="H339" t="s">
        <v>89</v>
      </c>
      <c r="I339">
        <v>1184</v>
      </c>
      <c r="J339" t="s">
        <v>19</v>
      </c>
      <c r="K339" t="s">
        <v>54</v>
      </c>
      <c r="L339" t="s">
        <v>21</v>
      </c>
      <c r="M339" t="s">
        <v>50</v>
      </c>
      <c r="N339">
        <v>11</v>
      </c>
      <c r="O339" t="str">
        <f t="shared" si="5"/>
        <v>Extended</v>
      </c>
    </row>
    <row r="340" spans="1:15" x14ac:dyDescent="0.3">
      <c r="A340" t="s">
        <v>728</v>
      </c>
      <c r="B340" t="s">
        <v>729</v>
      </c>
      <c r="C340">
        <v>49</v>
      </c>
      <c r="D340" t="s">
        <v>16</v>
      </c>
      <c r="E340" s="1">
        <v>45465</v>
      </c>
      <c r="F340" s="1">
        <v>45475</v>
      </c>
      <c r="G340" t="s">
        <v>32</v>
      </c>
      <c r="H340" t="s">
        <v>63</v>
      </c>
      <c r="I340">
        <v>9954</v>
      </c>
      <c r="J340" t="s">
        <v>34</v>
      </c>
      <c r="K340" t="s">
        <v>40</v>
      </c>
      <c r="L340" t="s">
        <v>78</v>
      </c>
      <c r="M340" t="s">
        <v>22</v>
      </c>
      <c r="N340">
        <v>10</v>
      </c>
      <c r="O340" t="str">
        <f t="shared" si="5"/>
        <v>Extended</v>
      </c>
    </row>
    <row r="341" spans="1:15" x14ac:dyDescent="0.3">
      <c r="A341" t="s">
        <v>730</v>
      </c>
      <c r="B341" t="s">
        <v>731</v>
      </c>
      <c r="C341">
        <v>90</v>
      </c>
      <c r="D341" t="s">
        <v>25</v>
      </c>
      <c r="E341" s="1">
        <v>45791</v>
      </c>
      <c r="F341" s="1">
        <v>45797</v>
      </c>
      <c r="G341" t="s">
        <v>32</v>
      </c>
      <c r="H341" t="s">
        <v>53</v>
      </c>
      <c r="I341">
        <v>1460</v>
      </c>
      <c r="J341" t="s">
        <v>34</v>
      </c>
      <c r="K341" t="s">
        <v>133</v>
      </c>
      <c r="L341" t="s">
        <v>45</v>
      </c>
      <c r="M341" t="s">
        <v>22</v>
      </c>
      <c r="N341">
        <v>6</v>
      </c>
      <c r="O341" t="str">
        <f t="shared" si="5"/>
        <v>Extended</v>
      </c>
    </row>
    <row r="342" spans="1:15" x14ac:dyDescent="0.3">
      <c r="A342" t="s">
        <v>732</v>
      </c>
      <c r="B342" t="s">
        <v>733</v>
      </c>
      <c r="C342">
        <v>28</v>
      </c>
      <c r="D342" t="s">
        <v>25</v>
      </c>
      <c r="E342" s="1">
        <v>45693</v>
      </c>
      <c r="F342" s="1">
        <v>45703</v>
      </c>
      <c r="G342" t="s">
        <v>43</v>
      </c>
      <c r="H342" t="s">
        <v>18</v>
      </c>
      <c r="I342">
        <v>8440</v>
      </c>
      <c r="J342" t="s">
        <v>34</v>
      </c>
      <c r="K342" t="s">
        <v>44</v>
      </c>
      <c r="L342" t="s">
        <v>59</v>
      </c>
      <c r="M342" t="s">
        <v>50</v>
      </c>
      <c r="N342">
        <v>10</v>
      </c>
      <c r="O342" t="str">
        <f t="shared" si="5"/>
        <v>Extended</v>
      </c>
    </row>
    <row r="343" spans="1:15" x14ac:dyDescent="0.3">
      <c r="A343" t="s">
        <v>734</v>
      </c>
      <c r="B343" t="s">
        <v>735</v>
      </c>
      <c r="C343">
        <v>73</v>
      </c>
      <c r="D343" t="s">
        <v>16</v>
      </c>
      <c r="E343" s="1">
        <v>45711</v>
      </c>
      <c r="F343" s="1">
        <v>45718</v>
      </c>
      <c r="G343" t="s">
        <v>66</v>
      </c>
      <c r="H343" t="s">
        <v>53</v>
      </c>
      <c r="I343">
        <v>4898</v>
      </c>
      <c r="J343" t="s">
        <v>19</v>
      </c>
      <c r="K343" t="s">
        <v>44</v>
      </c>
      <c r="L343" t="s">
        <v>59</v>
      </c>
      <c r="M343" t="s">
        <v>50</v>
      </c>
      <c r="N343">
        <v>7</v>
      </c>
      <c r="O343" t="str">
        <f t="shared" si="5"/>
        <v>Extended</v>
      </c>
    </row>
    <row r="344" spans="1:15" x14ac:dyDescent="0.3">
      <c r="A344" t="s">
        <v>736</v>
      </c>
      <c r="B344" t="s">
        <v>737</v>
      </c>
      <c r="C344">
        <v>3</v>
      </c>
      <c r="D344" t="s">
        <v>16</v>
      </c>
      <c r="E344" s="1">
        <v>45493</v>
      </c>
      <c r="F344" s="1">
        <v>45505</v>
      </c>
      <c r="G344" t="s">
        <v>17</v>
      </c>
      <c r="H344" t="s">
        <v>58</v>
      </c>
      <c r="I344">
        <v>2091</v>
      </c>
      <c r="J344" t="s">
        <v>34</v>
      </c>
      <c r="K344" t="s">
        <v>49</v>
      </c>
      <c r="L344" t="s">
        <v>59</v>
      </c>
      <c r="M344" t="s">
        <v>50</v>
      </c>
      <c r="N344">
        <v>12</v>
      </c>
      <c r="O344" t="str">
        <f t="shared" si="5"/>
        <v>Extended</v>
      </c>
    </row>
    <row r="345" spans="1:15" x14ac:dyDescent="0.3">
      <c r="A345" t="s">
        <v>738</v>
      </c>
      <c r="B345" t="s">
        <v>739</v>
      </c>
      <c r="C345">
        <v>35</v>
      </c>
      <c r="D345" t="s">
        <v>25</v>
      </c>
      <c r="E345" s="1">
        <v>45718</v>
      </c>
      <c r="F345" s="1">
        <v>45721</v>
      </c>
      <c r="G345" t="s">
        <v>32</v>
      </c>
      <c r="H345" t="s">
        <v>48</v>
      </c>
      <c r="I345">
        <v>6420</v>
      </c>
      <c r="J345" t="s">
        <v>34</v>
      </c>
      <c r="K345" t="s">
        <v>40</v>
      </c>
      <c r="L345" t="s">
        <v>36</v>
      </c>
      <c r="M345" t="s">
        <v>29</v>
      </c>
      <c r="N345">
        <v>3</v>
      </c>
      <c r="O345" t="str">
        <f t="shared" si="5"/>
        <v>Normal</v>
      </c>
    </row>
    <row r="346" spans="1:15" x14ac:dyDescent="0.3">
      <c r="A346" t="s">
        <v>740</v>
      </c>
      <c r="B346" t="s">
        <v>741</v>
      </c>
      <c r="C346">
        <v>5</v>
      </c>
      <c r="D346" t="s">
        <v>25</v>
      </c>
      <c r="E346" s="1">
        <v>45642</v>
      </c>
      <c r="F346" s="1">
        <v>45652</v>
      </c>
      <c r="G346" t="s">
        <v>94</v>
      </c>
      <c r="H346" t="s">
        <v>63</v>
      </c>
      <c r="I346">
        <v>6420</v>
      </c>
      <c r="J346" t="s">
        <v>19</v>
      </c>
      <c r="K346" t="s">
        <v>133</v>
      </c>
      <c r="L346" t="s">
        <v>21</v>
      </c>
      <c r="M346" t="s">
        <v>22</v>
      </c>
      <c r="N346">
        <v>10</v>
      </c>
      <c r="O346" t="str">
        <f t="shared" si="5"/>
        <v>Extended</v>
      </c>
    </row>
    <row r="347" spans="1:15" x14ac:dyDescent="0.3">
      <c r="A347" t="s">
        <v>742</v>
      </c>
      <c r="B347" t="s">
        <v>743</v>
      </c>
      <c r="C347">
        <v>3</v>
      </c>
      <c r="D347" t="s">
        <v>16</v>
      </c>
      <c r="E347" s="1">
        <v>45783</v>
      </c>
      <c r="F347" s="1">
        <v>45790</v>
      </c>
      <c r="G347" t="s">
        <v>66</v>
      </c>
      <c r="H347" t="s">
        <v>89</v>
      </c>
      <c r="I347">
        <v>4989</v>
      </c>
      <c r="J347" t="s">
        <v>34</v>
      </c>
      <c r="K347" t="s">
        <v>20</v>
      </c>
      <c r="L347" t="s">
        <v>28</v>
      </c>
      <c r="M347" t="s">
        <v>50</v>
      </c>
      <c r="N347">
        <v>7</v>
      </c>
      <c r="O347" t="str">
        <f t="shared" si="5"/>
        <v>Extended</v>
      </c>
    </row>
    <row r="348" spans="1:15" x14ac:dyDescent="0.3">
      <c r="A348" t="s">
        <v>744</v>
      </c>
      <c r="B348" t="s">
        <v>745</v>
      </c>
      <c r="C348">
        <v>70</v>
      </c>
      <c r="D348" t="s">
        <v>25</v>
      </c>
      <c r="E348" s="1">
        <v>45567</v>
      </c>
      <c r="F348" s="1">
        <v>45575</v>
      </c>
      <c r="G348" t="s">
        <v>62</v>
      </c>
      <c r="H348" t="s">
        <v>33</v>
      </c>
      <c r="I348">
        <v>2061</v>
      </c>
      <c r="J348" t="s">
        <v>34</v>
      </c>
      <c r="K348" t="s">
        <v>44</v>
      </c>
      <c r="L348" t="s">
        <v>59</v>
      </c>
      <c r="M348" t="s">
        <v>50</v>
      </c>
      <c r="N348">
        <v>8</v>
      </c>
      <c r="O348" t="str">
        <f t="shared" si="5"/>
        <v>Extended</v>
      </c>
    </row>
    <row r="349" spans="1:15" x14ac:dyDescent="0.3">
      <c r="A349" t="s">
        <v>746</v>
      </c>
      <c r="B349" t="s">
        <v>747</v>
      </c>
      <c r="C349">
        <v>57</v>
      </c>
      <c r="D349" t="s">
        <v>25</v>
      </c>
      <c r="E349" s="1">
        <v>45775</v>
      </c>
      <c r="F349" s="1">
        <v>45779</v>
      </c>
      <c r="G349" t="s">
        <v>43</v>
      </c>
      <c r="H349" t="s">
        <v>89</v>
      </c>
      <c r="I349">
        <v>3840</v>
      </c>
      <c r="J349" t="s">
        <v>34</v>
      </c>
      <c r="K349" t="s">
        <v>40</v>
      </c>
      <c r="L349" t="s">
        <v>36</v>
      </c>
      <c r="M349" t="s">
        <v>29</v>
      </c>
      <c r="N349">
        <v>4</v>
      </c>
      <c r="O349" t="str">
        <f t="shared" si="5"/>
        <v>Extended</v>
      </c>
    </row>
    <row r="350" spans="1:15" x14ac:dyDescent="0.3">
      <c r="A350" t="s">
        <v>748</v>
      </c>
      <c r="B350" t="s">
        <v>749</v>
      </c>
      <c r="C350">
        <v>60</v>
      </c>
      <c r="D350" t="s">
        <v>16</v>
      </c>
      <c r="E350" s="1">
        <v>45774</v>
      </c>
      <c r="F350" s="1">
        <v>45778</v>
      </c>
      <c r="G350" t="s">
        <v>66</v>
      </c>
      <c r="H350" t="s">
        <v>18</v>
      </c>
      <c r="I350">
        <v>3237</v>
      </c>
      <c r="J350" t="s">
        <v>34</v>
      </c>
      <c r="K350" t="s">
        <v>20</v>
      </c>
      <c r="L350" t="s">
        <v>55</v>
      </c>
      <c r="M350" t="s">
        <v>50</v>
      </c>
      <c r="N350">
        <v>4</v>
      </c>
      <c r="O350" t="str">
        <f t="shared" si="5"/>
        <v>Extended</v>
      </c>
    </row>
    <row r="351" spans="1:15" x14ac:dyDescent="0.3">
      <c r="A351" t="s">
        <v>750</v>
      </c>
      <c r="B351" t="s">
        <v>751</v>
      </c>
      <c r="C351">
        <v>2</v>
      </c>
      <c r="D351" t="s">
        <v>16</v>
      </c>
      <c r="E351" s="1">
        <v>45727</v>
      </c>
      <c r="F351" s="1">
        <v>45736</v>
      </c>
      <c r="G351" t="s">
        <v>32</v>
      </c>
      <c r="H351" t="s">
        <v>63</v>
      </c>
      <c r="I351">
        <v>3504</v>
      </c>
      <c r="J351" t="s">
        <v>34</v>
      </c>
      <c r="K351" t="s">
        <v>49</v>
      </c>
      <c r="L351" t="s">
        <v>59</v>
      </c>
      <c r="M351" t="s">
        <v>50</v>
      </c>
      <c r="N351">
        <v>9</v>
      </c>
      <c r="O351" t="str">
        <f t="shared" si="5"/>
        <v>Extended</v>
      </c>
    </row>
    <row r="352" spans="1:15" x14ac:dyDescent="0.3">
      <c r="A352" t="s">
        <v>752</v>
      </c>
      <c r="B352" t="s">
        <v>753</v>
      </c>
      <c r="C352">
        <v>59</v>
      </c>
      <c r="D352" t="s">
        <v>25</v>
      </c>
      <c r="E352" s="1">
        <v>45493</v>
      </c>
      <c r="F352" s="1">
        <v>45494</v>
      </c>
      <c r="G352" t="s">
        <v>62</v>
      </c>
      <c r="H352" t="s">
        <v>33</v>
      </c>
      <c r="I352">
        <v>3401</v>
      </c>
      <c r="J352" t="s">
        <v>34</v>
      </c>
      <c r="K352" t="s">
        <v>35</v>
      </c>
      <c r="L352" t="s">
        <v>55</v>
      </c>
      <c r="M352" t="s">
        <v>22</v>
      </c>
      <c r="N352">
        <v>1</v>
      </c>
      <c r="O352" t="str">
        <f t="shared" si="5"/>
        <v>Normal</v>
      </c>
    </row>
    <row r="353" spans="1:15" x14ac:dyDescent="0.3">
      <c r="A353" t="s">
        <v>754</v>
      </c>
      <c r="B353" t="s">
        <v>755</v>
      </c>
      <c r="C353">
        <v>78</v>
      </c>
      <c r="D353" t="s">
        <v>25</v>
      </c>
      <c r="E353" s="1">
        <v>45528</v>
      </c>
      <c r="F353" s="1">
        <v>45534</v>
      </c>
      <c r="G353" t="s">
        <v>66</v>
      </c>
      <c r="H353" t="s">
        <v>48</v>
      </c>
      <c r="I353">
        <v>2721</v>
      </c>
      <c r="J353" t="s">
        <v>19</v>
      </c>
      <c r="K353" t="s">
        <v>20</v>
      </c>
      <c r="L353" t="s">
        <v>55</v>
      </c>
      <c r="M353" t="s">
        <v>50</v>
      </c>
      <c r="N353">
        <v>6</v>
      </c>
      <c r="O353" t="str">
        <f t="shared" si="5"/>
        <v>Extended</v>
      </c>
    </row>
    <row r="354" spans="1:15" x14ac:dyDescent="0.3">
      <c r="A354" t="s">
        <v>756</v>
      </c>
      <c r="B354" t="s">
        <v>757</v>
      </c>
      <c r="C354">
        <v>78</v>
      </c>
      <c r="D354" t="s">
        <v>25</v>
      </c>
      <c r="E354" s="1">
        <v>45561</v>
      </c>
      <c r="F354" s="1">
        <v>45572</v>
      </c>
      <c r="G354" t="s">
        <v>94</v>
      </c>
      <c r="H354" t="s">
        <v>63</v>
      </c>
      <c r="I354">
        <v>8233</v>
      </c>
      <c r="J354" t="s">
        <v>34</v>
      </c>
      <c r="K354" t="s">
        <v>54</v>
      </c>
      <c r="L354" t="s">
        <v>45</v>
      </c>
      <c r="M354" t="s">
        <v>29</v>
      </c>
      <c r="N354">
        <v>11</v>
      </c>
      <c r="O354" t="str">
        <f t="shared" si="5"/>
        <v>Extended</v>
      </c>
    </row>
    <row r="355" spans="1:15" x14ac:dyDescent="0.3">
      <c r="A355" t="s">
        <v>758</v>
      </c>
      <c r="B355" t="s">
        <v>759</v>
      </c>
      <c r="C355">
        <v>6</v>
      </c>
      <c r="D355" t="s">
        <v>25</v>
      </c>
      <c r="E355" s="1">
        <v>45567</v>
      </c>
      <c r="F355" s="1">
        <v>45572</v>
      </c>
      <c r="G355" t="s">
        <v>43</v>
      </c>
      <c r="H355" t="s">
        <v>18</v>
      </c>
      <c r="I355">
        <v>2070</v>
      </c>
      <c r="J355" t="s">
        <v>19</v>
      </c>
      <c r="K355" t="s">
        <v>35</v>
      </c>
      <c r="L355" t="s">
        <v>21</v>
      </c>
      <c r="M355" t="s">
        <v>22</v>
      </c>
      <c r="N355">
        <v>5</v>
      </c>
      <c r="O355" t="str">
        <f t="shared" si="5"/>
        <v>Extended</v>
      </c>
    </row>
    <row r="356" spans="1:15" x14ac:dyDescent="0.3">
      <c r="A356" t="s">
        <v>760</v>
      </c>
      <c r="B356" t="s">
        <v>761</v>
      </c>
      <c r="C356">
        <v>58</v>
      </c>
      <c r="D356" t="s">
        <v>25</v>
      </c>
      <c r="E356" s="1">
        <v>45659</v>
      </c>
      <c r="F356" s="1">
        <v>45668</v>
      </c>
      <c r="G356" t="s">
        <v>17</v>
      </c>
      <c r="H356" t="s">
        <v>27</v>
      </c>
      <c r="I356">
        <v>9276</v>
      </c>
      <c r="J356" t="s">
        <v>34</v>
      </c>
      <c r="K356" t="s">
        <v>133</v>
      </c>
      <c r="L356" t="s">
        <v>59</v>
      </c>
      <c r="M356" t="s">
        <v>22</v>
      </c>
      <c r="N356">
        <v>9</v>
      </c>
      <c r="O356" t="str">
        <f t="shared" si="5"/>
        <v>Extended</v>
      </c>
    </row>
    <row r="357" spans="1:15" x14ac:dyDescent="0.3">
      <c r="A357" t="s">
        <v>762</v>
      </c>
      <c r="B357" t="s">
        <v>763</v>
      </c>
      <c r="C357">
        <v>78</v>
      </c>
      <c r="D357" t="s">
        <v>25</v>
      </c>
      <c r="E357" s="1">
        <v>45611</v>
      </c>
      <c r="F357" s="1">
        <v>45614</v>
      </c>
      <c r="G357" t="s">
        <v>43</v>
      </c>
      <c r="H357" t="s">
        <v>33</v>
      </c>
      <c r="I357">
        <v>6298</v>
      </c>
      <c r="J357" t="s">
        <v>19</v>
      </c>
      <c r="K357" t="s">
        <v>133</v>
      </c>
      <c r="L357" t="s">
        <v>59</v>
      </c>
      <c r="M357" t="s">
        <v>50</v>
      </c>
      <c r="N357">
        <v>3</v>
      </c>
      <c r="O357" t="str">
        <f t="shared" si="5"/>
        <v>Normal</v>
      </c>
    </row>
    <row r="358" spans="1:15" x14ac:dyDescent="0.3">
      <c r="A358" t="s">
        <v>764</v>
      </c>
      <c r="B358" t="s">
        <v>765</v>
      </c>
      <c r="C358">
        <v>27</v>
      </c>
      <c r="D358" t="s">
        <v>25</v>
      </c>
      <c r="E358" s="1">
        <v>45562</v>
      </c>
      <c r="F358" s="1">
        <v>45566</v>
      </c>
      <c r="G358" t="s">
        <v>62</v>
      </c>
      <c r="H358" t="s">
        <v>53</v>
      </c>
      <c r="I358">
        <v>7075</v>
      </c>
      <c r="J358" t="s">
        <v>19</v>
      </c>
      <c r="K358" t="s">
        <v>40</v>
      </c>
      <c r="L358" t="s">
        <v>78</v>
      </c>
      <c r="M358" t="s">
        <v>22</v>
      </c>
      <c r="N358">
        <v>4</v>
      </c>
      <c r="O358" t="str">
        <f t="shared" si="5"/>
        <v>Extended</v>
      </c>
    </row>
    <row r="359" spans="1:15" x14ac:dyDescent="0.3">
      <c r="A359" t="s">
        <v>766</v>
      </c>
      <c r="B359" t="s">
        <v>767</v>
      </c>
      <c r="C359">
        <v>31</v>
      </c>
      <c r="D359" t="s">
        <v>16</v>
      </c>
      <c r="E359" s="1">
        <v>45495</v>
      </c>
      <c r="F359" s="1">
        <v>45501</v>
      </c>
      <c r="G359" t="s">
        <v>17</v>
      </c>
      <c r="H359" t="s">
        <v>33</v>
      </c>
      <c r="I359">
        <v>2471</v>
      </c>
      <c r="J359" t="s">
        <v>19</v>
      </c>
      <c r="K359" t="s">
        <v>49</v>
      </c>
      <c r="L359" t="s">
        <v>28</v>
      </c>
      <c r="M359" t="s">
        <v>29</v>
      </c>
      <c r="N359">
        <v>6</v>
      </c>
      <c r="O359" t="str">
        <f t="shared" si="5"/>
        <v>Extended</v>
      </c>
    </row>
    <row r="360" spans="1:15" x14ac:dyDescent="0.3">
      <c r="A360" t="s">
        <v>768</v>
      </c>
      <c r="B360" t="s">
        <v>769</v>
      </c>
      <c r="C360">
        <v>1</v>
      </c>
      <c r="D360" t="s">
        <v>25</v>
      </c>
      <c r="E360" s="1">
        <v>45571</v>
      </c>
      <c r="F360" s="1">
        <v>45581</v>
      </c>
      <c r="G360" t="s">
        <v>66</v>
      </c>
      <c r="H360" t="s">
        <v>53</v>
      </c>
      <c r="I360">
        <v>2172</v>
      </c>
      <c r="J360" t="s">
        <v>19</v>
      </c>
      <c r="K360" t="s">
        <v>35</v>
      </c>
      <c r="L360" t="s">
        <v>45</v>
      </c>
      <c r="M360" t="s">
        <v>22</v>
      </c>
      <c r="N360">
        <v>10</v>
      </c>
      <c r="O360" t="str">
        <f t="shared" si="5"/>
        <v>Extended</v>
      </c>
    </row>
    <row r="361" spans="1:15" x14ac:dyDescent="0.3">
      <c r="A361" t="s">
        <v>770</v>
      </c>
      <c r="B361" t="s">
        <v>771</v>
      </c>
      <c r="C361">
        <v>54</v>
      </c>
      <c r="D361" t="s">
        <v>16</v>
      </c>
      <c r="E361" s="1">
        <v>45622</v>
      </c>
      <c r="F361" s="1">
        <v>45627</v>
      </c>
      <c r="G361" t="s">
        <v>43</v>
      </c>
      <c r="H361" t="s">
        <v>73</v>
      </c>
      <c r="I361">
        <v>7761</v>
      </c>
      <c r="J361" t="s">
        <v>34</v>
      </c>
      <c r="K361" t="s">
        <v>133</v>
      </c>
      <c r="L361" t="s">
        <v>21</v>
      </c>
      <c r="M361" t="s">
        <v>50</v>
      </c>
      <c r="N361">
        <v>5</v>
      </c>
      <c r="O361" t="str">
        <f t="shared" si="5"/>
        <v>Extended</v>
      </c>
    </row>
    <row r="362" spans="1:15" x14ac:dyDescent="0.3">
      <c r="A362" t="s">
        <v>772</v>
      </c>
      <c r="B362" t="s">
        <v>773</v>
      </c>
      <c r="C362">
        <v>59</v>
      </c>
      <c r="D362" t="s">
        <v>25</v>
      </c>
      <c r="E362" s="1">
        <v>45479</v>
      </c>
      <c r="F362" s="1">
        <v>45492</v>
      </c>
      <c r="G362" t="s">
        <v>43</v>
      </c>
      <c r="H362" t="s">
        <v>18</v>
      </c>
      <c r="I362">
        <v>7508</v>
      </c>
      <c r="J362" t="s">
        <v>19</v>
      </c>
      <c r="K362" t="s">
        <v>35</v>
      </c>
      <c r="L362" t="s">
        <v>59</v>
      </c>
      <c r="M362" t="s">
        <v>29</v>
      </c>
      <c r="N362">
        <v>13</v>
      </c>
      <c r="O362" t="str">
        <f t="shared" si="5"/>
        <v>Extended</v>
      </c>
    </row>
    <row r="363" spans="1:15" x14ac:dyDescent="0.3">
      <c r="A363" t="s">
        <v>774</v>
      </c>
      <c r="B363" t="s">
        <v>775</v>
      </c>
      <c r="C363">
        <v>16</v>
      </c>
      <c r="D363" t="s">
        <v>16</v>
      </c>
      <c r="E363" s="1">
        <v>45476</v>
      </c>
      <c r="F363" s="1">
        <v>45478</v>
      </c>
      <c r="G363" t="s">
        <v>62</v>
      </c>
      <c r="H363" t="s">
        <v>48</v>
      </c>
      <c r="I363">
        <v>7448</v>
      </c>
      <c r="J363" t="s">
        <v>19</v>
      </c>
      <c r="K363" t="s">
        <v>44</v>
      </c>
      <c r="L363" t="s">
        <v>28</v>
      </c>
      <c r="M363" t="s">
        <v>50</v>
      </c>
      <c r="N363">
        <v>2</v>
      </c>
      <c r="O363" t="str">
        <f t="shared" si="5"/>
        <v>Normal</v>
      </c>
    </row>
    <row r="364" spans="1:15" x14ac:dyDescent="0.3">
      <c r="A364" t="s">
        <v>776</v>
      </c>
      <c r="B364" t="s">
        <v>777</v>
      </c>
      <c r="C364">
        <v>75</v>
      </c>
      <c r="D364" t="s">
        <v>16</v>
      </c>
      <c r="E364" s="1">
        <v>45478</v>
      </c>
      <c r="F364" s="1">
        <v>45483</v>
      </c>
      <c r="G364" t="s">
        <v>94</v>
      </c>
      <c r="H364" t="s">
        <v>89</v>
      </c>
      <c r="I364">
        <v>7993</v>
      </c>
      <c r="J364" t="s">
        <v>34</v>
      </c>
      <c r="K364" t="s">
        <v>49</v>
      </c>
      <c r="L364" t="s">
        <v>21</v>
      </c>
      <c r="M364" t="s">
        <v>22</v>
      </c>
      <c r="N364">
        <v>5</v>
      </c>
      <c r="O364" t="str">
        <f t="shared" si="5"/>
        <v>Extended</v>
      </c>
    </row>
    <row r="365" spans="1:15" x14ac:dyDescent="0.3">
      <c r="A365" t="s">
        <v>778</v>
      </c>
      <c r="B365" t="s">
        <v>779</v>
      </c>
      <c r="C365">
        <v>21</v>
      </c>
      <c r="D365" t="s">
        <v>16</v>
      </c>
      <c r="E365" s="1">
        <v>45588</v>
      </c>
      <c r="F365" s="1">
        <v>45592</v>
      </c>
      <c r="G365" t="s">
        <v>26</v>
      </c>
      <c r="H365" t="s">
        <v>53</v>
      </c>
      <c r="I365">
        <v>2851</v>
      </c>
      <c r="J365" t="s">
        <v>34</v>
      </c>
      <c r="K365" t="s">
        <v>49</v>
      </c>
      <c r="L365" t="s">
        <v>78</v>
      </c>
      <c r="M365" t="s">
        <v>50</v>
      </c>
      <c r="N365">
        <v>4</v>
      </c>
      <c r="O365" t="str">
        <f t="shared" si="5"/>
        <v>Extended</v>
      </c>
    </row>
    <row r="366" spans="1:15" x14ac:dyDescent="0.3">
      <c r="A366" t="s">
        <v>780</v>
      </c>
      <c r="B366" t="s">
        <v>781</v>
      </c>
      <c r="C366">
        <v>48</v>
      </c>
      <c r="D366" t="s">
        <v>25</v>
      </c>
      <c r="E366" s="1">
        <v>45495</v>
      </c>
      <c r="F366" s="1">
        <v>45504</v>
      </c>
      <c r="G366" t="s">
        <v>43</v>
      </c>
      <c r="H366" t="s">
        <v>89</v>
      </c>
      <c r="I366">
        <v>5990</v>
      </c>
      <c r="J366" t="s">
        <v>19</v>
      </c>
      <c r="K366" t="s">
        <v>49</v>
      </c>
      <c r="L366" t="s">
        <v>59</v>
      </c>
      <c r="M366" t="s">
        <v>50</v>
      </c>
      <c r="N366">
        <v>9</v>
      </c>
      <c r="O366" t="str">
        <f t="shared" si="5"/>
        <v>Extended</v>
      </c>
    </row>
    <row r="367" spans="1:15" x14ac:dyDescent="0.3">
      <c r="A367" t="s">
        <v>782</v>
      </c>
      <c r="B367" t="s">
        <v>783</v>
      </c>
      <c r="C367">
        <v>9</v>
      </c>
      <c r="D367" t="s">
        <v>16</v>
      </c>
      <c r="E367" s="1">
        <v>45688</v>
      </c>
      <c r="F367" s="1">
        <v>45702</v>
      </c>
      <c r="G367" t="s">
        <v>32</v>
      </c>
      <c r="H367" t="s">
        <v>73</v>
      </c>
      <c r="I367">
        <v>3425</v>
      </c>
      <c r="J367" t="s">
        <v>34</v>
      </c>
      <c r="K367" t="s">
        <v>54</v>
      </c>
      <c r="L367" t="s">
        <v>21</v>
      </c>
      <c r="M367" t="s">
        <v>22</v>
      </c>
      <c r="N367">
        <v>14</v>
      </c>
      <c r="O367" t="str">
        <f t="shared" si="5"/>
        <v>Extended</v>
      </c>
    </row>
    <row r="368" spans="1:15" x14ac:dyDescent="0.3">
      <c r="A368" t="s">
        <v>784</v>
      </c>
      <c r="B368" t="s">
        <v>785</v>
      </c>
      <c r="C368">
        <v>14</v>
      </c>
      <c r="D368" t="s">
        <v>16</v>
      </c>
      <c r="E368" s="1">
        <v>45664</v>
      </c>
      <c r="F368" s="1">
        <v>45673</v>
      </c>
      <c r="G368" t="s">
        <v>43</v>
      </c>
      <c r="H368" t="s">
        <v>48</v>
      </c>
      <c r="I368">
        <v>5132</v>
      </c>
      <c r="J368" t="s">
        <v>34</v>
      </c>
      <c r="K368" t="s">
        <v>133</v>
      </c>
      <c r="L368" t="s">
        <v>55</v>
      </c>
      <c r="M368" t="s">
        <v>22</v>
      </c>
      <c r="N368">
        <v>9</v>
      </c>
      <c r="O368" t="str">
        <f t="shared" si="5"/>
        <v>Extended</v>
      </c>
    </row>
    <row r="369" spans="1:15" x14ac:dyDescent="0.3">
      <c r="A369" t="s">
        <v>786</v>
      </c>
      <c r="B369" t="s">
        <v>787</v>
      </c>
      <c r="C369">
        <v>36</v>
      </c>
      <c r="D369" t="s">
        <v>25</v>
      </c>
      <c r="E369" s="1">
        <v>45702</v>
      </c>
      <c r="F369" s="1">
        <v>45707</v>
      </c>
      <c r="G369" t="s">
        <v>32</v>
      </c>
      <c r="H369" t="s">
        <v>63</v>
      </c>
      <c r="I369">
        <v>9164</v>
      </c>
      <c r="J369" t="s">
        <v>19</v>
      </c>
      <c r="K369" t="s">
        <v>40</v>
      </c>
      <c r="L369" t="s">
        <v>78</v>
      </c>
      <c r="M369" t="s">
        <v>22</v>
      </c>
      <c r="N369">
        <v>5</v>
      </c>
      <c r="O369" t="str">
        <f t="shared" si="5"/>
        <v>Extended</v>
      </c>
    </row>
    <row r="370" spans="1:15" x14ac:dyDescent="0.3">
      <c r="A370" t="s">
        <v>788</v>
      </c>
      <c r="B370" t="s">
        <v>789</v>
      </c>
      <c r="C370">
        <v>79</v>
      </c>
      <c r="D370" t="s">
        <v>25</v>
      </c>
      <c r="E370" s="1">
        <v>45723</v>
      </c>
      <c r="F370" s="1">
        <v>45732</v>
      </c>
      <c r="G370" t="s">
        <v>17</v>
      </c>
      <c r="H370" t="s">
        <v>33</v>
      </c>
      <c r="I370">
        <v>7854</v>
      </c>
      <c r="J370" t="s">
        <v>19</v>
      </c>
      <c r="K370" t="s">
        <v>35</v>
      </c>
      <c r="L370" t="s">
        <v>59</v>
      </c>
      <c r="M370" t="s">
        <v>22</v>
      </c>
      <c r="N370">
        <v>9</v>
      </c>
      <c r="O370" t="str">
        <f t="shared" si="5"/>
        <v>Extended</v>
      </c>
    </row>
    <row r="371" spans="1:15" x14ac:dyDescent="0.3">
      <c r="A371" t="s">
        <v>790</v>
      </c>
      <c r="B371" t="s">
        <v>791</v>
      </c>
      <c r="C371">
        <v>44</v>
      </c>
      <c r="D371" t="s">
        <v>16</v>
      </c>
      <c r="E371" s="1">
        <v>45442</v>
      </c>
      <c r="F371" s="1">
        <v>45454</v>
      </c>
      <c r="G371" t="s">
        <v>32</v>
      </c>
      <c r="H371" t="s">
        <v>18</v>
      </c>
      <c r="I371">
        <v>1460</v>
      </c>
      <c r="J371" t="s">
        <v>34</v>
      </c>
      <c r="K371" t="s">
        <v>35</v>
      </c>
      <c r="L371" t="s">
        <v>21</v>
      </c>
      <c r="M371" t="s">
        <v>29</v>
      </c>
      <c r="N371">
        <v>12</v>
      </c>
      <c r="O371" t="str">
        <f t="shared" si="5"/>
        <v>Extended</v>
      </c>
    </row>
    <row r="372" spans="1:15" x14ac:dyDescent="0.3">
      <c r="A372" t="s">
        <v>792</v>
      </c>
      <c r="B372" t="s">
        <v>793</v>
      </c>
      <c r="C372">
        <v>54</v>
      </c>
      <c r="D372" t="s">
        <v>16</v>
      </c>
      <c r="E372" s="1">
        <v>45676</v>
      </c>
      <c r="F372" s="1">
        <v>45681</v>
      </c>
      <c r="G372" t="s">
        <v>94</v>
      </c>
      <c r="H372" t="s">
        <v>48</v>
      </c>
      <c r="I372">
        <v>7607</v>
      </c>
      <c r="J372" t="s">
        <v>34</v>
      </c>
      <c r="K372" t="s">
        <v>40</v>
      </c>
      <c r="L372" t="s">
        <v>59</v>
      </c>
      <c r="M372" t="s">
        <v>50</v>
      </c>
      <c r="N372">
        <v>5</v>
      </c>
      <c r="O372" t="str">
        <f t="shared" si="5"/>
        <v>Extended</v>
      </c>
    </row>
    <row r="373" spans="1:15" x14ac:dyDescent="0.3">
      <c r="A373" t="s">
        <v>794</v>
      </c>
      <c r="B373" t="s">
        <v>795</v>
      </c>
      <c r="C373">
        <v>55</v>
      </c>
      <c r="D373" t="s">
        <v>16</v>
      </c>
      <c r="E373" s="1">
        <v>45645</v>
      </c>
      <c r="F373" s="1">
        <v>45649</v>
      </c>
      <c r="G373" t="s">
        <v>26</v>
      </c>
      <c r="H373" t="s">
        <v>89</v>
      </c>
      <c r="I373">
        <v>1232</v>
      </c>
      <c r="J373" t="s">
        <v>19</v>
      </c>
      <c r="K373" t="s">
        <v>20</v>
      </c>
      <c r="L373" t="s">
        <v>45</v>
      </c>
      <c r="M373" t="s">
        <v>29</v>
      </c>
      <c r="N373">
        <v>4</v>
      </c>
      <c r="O373" t="str">
        <f t="shared" si="5"/>
        <v>Extended</v>
      </c>
    </row>
    <row r="374" spans="1:15" x14ac:dyDescent="0.3">
      <c r="A374" t="s">
        <v>796</v>
      </c>
      <c r="B374" t="s">
        <v>797</v>
      </c>
      <c r="C374">
        <v>71</v>
      </c>
      <c r="D374" t="s">
        <v>25</v>
      </c>
      <c r="E374" s="1">
        <v>45675</v>
      </c>
      <c r="F374" s="1">
        <v>45680</v>
      </c>
      <c r="G374" t="s">
        <v>32</v>
      </c>
      <c r="H374" t="s">
        <v>48</v>
      </c>
      <c r="I374">
        <v>6970</v>
      </c>
      <c r="J374" t="s">
        <v>19</v>
      </c>
      <c r="K374" t="s">
        <v>40</v>
      </c>
      <c r="L374" t="s">
        <v>59</v>
      </c>
      <c r="M374" t="s">
        <v>50</v>
      </c>
      <c r="N374">
        <v>5</v>
      </c>
      <c r="O374" t="str">
        <f t="shared" si="5"/>
        <v>Extended</v>
      </c>
    </row>
    <row r="375" spans="1:15" x14ac:dyDescent="0.3">
      <c r="A375" t="s">
        <v>798</v>
      </c>
      <c r="B375" t="s">
        <v>799</v>
      </c>
      <c r="C375">
        <v>65</v>
      </c>
      <c r="D375" t="s">
        <v>16</v>
      </c>
      <c r="E375" s="1">
        <v>45764</v>
      </c>
      <c r="F375" s="1">
        <v>45774</v>
      </c>
      <c r="G375" t="s">
        <v>62</v>
      </c>
      <c r="H375" t="s">
        <v>39</v>
      </c>
      <c r="I375">
        <v>1560</v>
      </c>
      <c r="J375" t="s">
        <v>19</v>
      </c>
      <c r="K375" t="s">
        <v>49</v>
      </c>
      <c r="L375" t="s">
        <v>59</v>
      </c>
      <c r="M375" t="s">
        <v>29</v>
      </c>
      <c r="N375">
        <v>10</v>
      </c>
      <c r="O375" t="str">
        <f t="shared" si="5"/>
        <v>Extended</v>
      </c>
    </row>
    <row r="376" spans="1:15" x14ac:dyDescent="0.3">
      <c r="A376" t="s">
        <v>800</v>
      </c>
      <c r="B376" t="s">
        <v>801</v>
      </c>
      <c r="C376">
        <v>3</v>
      </c>
      <c r="D376" t="s">
        <v>16</v>
      </c>
      <c r="E376" s="1">
        <v>45563</v>
      </c>
      <c r="F376" s="1">
        <v>45572</v>
      </c>
      <c r="G376" t="s">
        <v>17</v>
      </c>
      <c r="H376" t="s">
        <v>89</v>
      </c>
      <c r="I376">
        <v>8146</v>
      </c>
      <c r="J376" t="s">
        <v>19</v>
      </c>
      <c r="K376" t="s">
        <v>40</v>
      </c>
      <c r="L376" t="s">
        <v>21</v>
      </c>
      <c r="M376" t="s">
        <v>29</v>
      </c>
      <c r="N376">
        <v>9</v>
      </c>
      <c r="O376" t="str">
        <f t="shared" si="5"/>
        <v>Extended</v>
      </c>
    </row>
    <row r="377" spans="1:15" x14ac:dyDescent="0.3">
      <c r="A377" t="s">
        <v>802</v>
      </c>
      <c r="B377" t="s">
        <v>803</v>
      </c>
      <c r="C377">
        <v>25</v>
      </c>
      <c r="D377" t="s">
        <v>25</v>
      </c>
      <c r="E377" s="1">
        <v>45805</v>
      </c>
      <c r="F377" s="1">
        <v>45807</v>
      </c>
      <c r="G377" t="s">
        <v>94</v>
      </c>
      <c r="H377" t="s">
        <v>73</v>
      </c>
      <c r="I377">
        <v>4169</v>
      </c>
      <c r="J377" t="s">
        <v>34</v>
      </c>
      <c r="K377" t="s">
        <v>49</v>
      </c>
      <c r="L377" t="s">
        <v>21</v>
      </c>
      <c r="M377" t="s">
        <v>50</v>
      </c>
      <c r="N377">
        <v>2</v>
      </c>
      <c r="O377" t="str">
        <f t="shared" si="5"/>
        <v>Normal</v>
      </c>
    </row>
    <row r="378" spans="1:15" x14ac:dyDescent="0.3">
      <c r="A378" t="s">
        <v>804</v>
      </c>
      <c r="B378" t="s">
        <v>805</v>
      </c>
      <c r="C378">
        <v>82</v>
      </c>
      <c r="D378" t="s">
        <v>25</v>
      </c>
      <c r="E378" s="1">
        <v>45456</v>
      </c>
      <c r="F378" s="1">
        <v>45465</v>
      </c>
      <c r="G378" t="s">
        <v>66</v>
      </c>
      <c r="H378" t="s">
        <v>39</v>
      </c>
      <c r="I378">
        <v>3164</v>
      </c>
      <c r="J378" t="s">
        <v>19</v>
      </c>
      <c r="K378" t="s">
        <v>20</v>
      </c>
      <c r="L378" t="s">
        <v>55</v>
      </c>
      <c r="M378" t="s">
        <v>22</v>
      </c>
      <c r="N378">
        <v>9</v>
      </c>
      <c r="O378" t="str">
        <f t="shared" si="5"/>
        <v>Extended</v>
      </c>
    </row>
    <row r="379" spans="1:15" x14ac:dyDescent="0.3">
      <c r="A379" t="s">
        <v>806</v>
      </c>
      <c r="B379" t="s">
        <v>807</v>
      </c>
      <c r="C379">
        <v>9</v>
      </c>
      <c r="D379" t="s">
        <v>16</v>
      </c>
      <c r="E379" s="1">
        <v>45483</v>
      </c>
      <c r="F379" s="1">
        <v>45494</v>
      </c>
      <c r="G379" t="s">
        <v>26</v>
      </c>
      <c r="H379" t="s">
        <v>18</v>
      </c>
      <c r="I379">
        <v>9077</v>
      </c>
      <c r="J379" t="s">
        <v>34</v>
      </c>
      <c r="K379" t="s">
        <v>40</v>
      </c>
      <c r="L379" t="s">
        <v>78</v>
      </c>
      <c r="M379" t="s">
        <v>29</v>
      </c>
      <c r="N379">
        <v>11</v>
      </c>
      <c r="O379" t="str">
        <f t="shared" si="5"/>
        <v>Extended</v>
      </c>
    </row>
    <row r="380" spans="1:15" x14ac:dyDescent="0.3">
      <c r="A380" t="s">
        <v>808</v>
      </c>
      <c r="B380" t="s">
        <v>809</v>
      </c>
      <c r="C380">
        <v>61</v>
      </c>
      <c r="D380" t="s">
        <v>25</v>
      </c>
      <c r="E380" s="1">
        <v>45784</v>
      </c>
      <c r="F380" s="1">
        <v>45785</v>
      </c>
      <c r="G380" t="s">
        <v>43</v>
      </c>
      <c r="H380" t="s">
        <v>27</v>
      </c>
      <c r="I380">
        <v>4499</v>
      </c>
      <c r="J380" t="s">
        <v>34</v>
      </c>
      <c r="K380" t="s">
        <v>44</v>
      </c>
      <c r="L380" t="s">
        <v>78</v>
      </c>
      <c r="M380" t="s">
        <v>22</v>
      </c>
      <c r="N380">
        <v>1</v>
      </c>
      <c r="O380" t="str">
        <f t="shared" si="5"/>
        <v>Normal</v>
      </c>
    </row>
    <row r="381" spans="1:15" x14ac:dyDescent="0.3">
      <c r="A381" t="s">
        <v>810</v>
      </c>
      <c r="B381" t="s">
        <v>811</v>
      </c>
      <c r="C381">
        <v>66</v>
      </c>
      <c r="D381" t="s">
        <v>16</v>
      </c>
      <c r="E381" s="1">
        <v>45478</v>
      </c>
      <c r="F381" s="1">
        <v>45479</v>
      </c>
      <c r="G381" t="s">
        <v>62</v>
      </c>
      <c r="H381" t="s">
        <v>33</v>
      </c>
      <c r="I381">
        <v>6946</v>
      </c>
      <c r="J381" t="s">
        <v>19</v>
      </c>
      <c r="K381" t="s">
        <v>44</v>
      </c>
      <c r="L381" t="s">
        <v>28</v>
      </c>
      <c r="M381" t="s">
        <v>29</v>
      </c>
      <c r="N381">
        <v>1</v>
      </c>
      <c r="O381" t="str">
        <f t="shared" si="5"/>
        <v>Normal</v>
      </c>
    </row>
    <row r="382" spans="1:15" x14ac:dyDescent="0.3">
      <c r="A382" t="s">
        <v>812</v>
      </c>
      <c r="B382" t="s">
        <v>813</v>
      </c>
      <c r="C382">
        <v>12</v>
      </c>
      <c r="D382" t="s">
        <v>25</v>
      </c>
      <c r="E382" s="1">
        <v>45568</v>
      </c>
      <c r="F382" s="1">
        <v>45576</v>
      </c>
      <c r="G382" t="s">
        <v>32</v>
      </c>
      <c r="H382" t="s">
        <v>39</v>
      </c>
      <c r="I382">
        <v>2557</v>
      </c>
      <c r="J382" t="s">
        <v>34</v>
      </c>
      <c r="K382" t="s">
        <v>35</v>
      </c>
      <c r="L382" t="s">
        <v>36</v>
      </c>
      <c r="M382" t="s">
        <v>22</v>
      </c>
      <c r="N382">
        <v>8</v>
      </c>
      <c r="O382" t="str">
        <f t="shared" si="5"/>
        <v>Extended</v>
      </c>
    </row>
    <row r="383" spans="1:15" x14ac:dyDescent="0.3">
      <c r="A383" t="s">
        <v>814</v>
      </c>
      <c r="B383" t="s">
        <v>815</v>
      </c>
      <c r="C383">
        <v>38</v>
      </c>
      <c r="D383" t="s">
        <v>25</v>
      </c>
      <c r="E383" s="1">
        <v>45646</v>
      </c>
      <c r="F383" s="1">
        <v>45659</v>
      </c>
      <c r="G383" t="s">
        <v>32</v>
      </c>
      <c r="H383" t="s">
        <v>58</v>
      </c>
      <c r="I383">
        <v>2114</v>
      </c>
      <c r="J383" t="s">
        <v>19</v>
      </c>
      <c r="K383" t="s">
        <v>20</v>
      </c>
      <c r="L383" t="s">
        <v>36</v>
      </c>
      <c r="M383" t="s">
        <v>22</v>
      </c>
      <c r="N383">
        <v>13</v>
      </c>
      <c r="O383" t="str">
        <f t="shared" si="5"/>
        <v>Extended</v>
      </c>
    </row>
    <row r="384" spans="1:15" x14ac:dyDescent="0.3">
      <c r="A384" t="s">
        <v>816</v>
      </c>
      <c r="B384" t="s">
        <v>817</v>
      </c>
      <c r="C384">
        <v>67</v>
      </c>
      <c r="D384" t="s">
        <v>25</v>
      </c>
      <c r="E384" s="1">
        <v>45659</v>
      </c>
      <c r="F384" s="1">
        <v>45668</v>
      </c>
      <c r="G384" t="s">
        <v>26</v>
      </c>
      <c r="H384" t="s">
        <v>33</v>
      </c>
      <c r="I384">
        <v>2448</v>
      </c>
      <c r="J384" t="s">
        <v>34</v>
      </c>
      <c r="K384" t="s">
        <v>40</v>
      </c>
      <c r="L384" t="s">
        <v>78</v>
      </c>
      <c r="M384" t="s">
        <v>22</v>
      </c>
      <c r="N384">
        <v>9</v>
      </c>
      <c r="O384" t="str">
        <f t="shared" si="5"/>
        <v>Extended</v>
      </c>
    </row>
    <row r="385" spans="1:15" x14ac:dyDescent="0.3">
      <c r="A385" t="s">
        <v>818</v>
      </c>
      <c r="B385" t="s">
        <v>819</v>
      </c>
      <c r="C385">
        <v>32</v>
      </c>
      <c r="D385" t="s">
        <v>25</v>
      </c>
      <c r="E385" s="1">
        <v>45622</v>
      </c>
      <c r="F385" s="1">
        <v>45625</v>
      </c>
      <c r="G385" t="s">
        <v>94</v>
      </c>
      <c r="H385" t="s">
        <v>27</v>
      </c>
      <c r="I385">
        <v>7195</v>
      </c>
      <c r="J385" t="s">
        <v>34</v>
      </c>
      <c r="K385" t="s">
        <v>20</v>
      </c>
      <c r="L385" t="s">
        <v>45</v>
      </c>
      <c r="M385" t="s">
        <v>29</v>
      </c>
      <c r="N385">
        <v>3</v>
      </c>
      <c r="O385" t="str">
        <f t="shared" si="5"/>
        <v>Normal</v>
      </c>
    </row>
    <row r="386" spans="1:15" x14ac:dyDescent="0.3">
      <c r="A386" t="s">
        <v>820</v>
      </c>
      <c r="B386" t="s">
        <v>821</v>
      </c>
      <c r="C386">
        <v>21</v>
      </c>
      <c r="D386" t="s">
        <v>25</v>
      </c>
      <c r="E386" s="1">
        <v>45535</v>
      </c>
      <c r="F386" s="1">
        <v>45544</v>
      </c>
      <c r="G386" t="s">
        <v>66</v>
      </c>
      <c r="H386" t="s">
        <v>89</v>
      </c>
      <c r="I386">
        <v>2139</v>
      </c>
      <c r="J386" t="s">
        <v>19</v>
      </c>
      <c r="K386" t="s">
        <v>49</v>
      </c>
      <c r="L386" t="s">
        <v>21</v>
      </c>
      <c r="M386" t="s">
        <v>22</v>
      </c>
      <c r="N386">
        <v>9</v>
      </c>
      <c r="O386" t="str">
        <f t="shared" si="5"/>
        <v>Extended</v>
      </c>
    </row>
    <row r="387" spans="1:15" x14ac:dyDescent="0.3">
      <c r="A387" t="s">
        <v>822</v>
      </c>
      <c r="B387" t="s">
        <v>823</v>
      </c>
      <c r="C387">
        <v>76</v>
      </c>
      <c r="D387" t="s">
        <v>25</v>
      </c>
      <c r="E387" s="1">
        <v>45555</v>
      </c>
      <c r="F387" s="1">
        <v>45562</v>
      </c>
      <c r="G387" t="s">
        <v>62</v>
      </c>
      <c r="H387" t="s">
        <v>18</v>
      </c>
      <c r="I387">
        <v>9908</v>
      </c>
      <c r="J387" t="s">
        <v>19</v>
      </c>
      <c r="K387" t="s">
        <v>49</v>
      </c>
      <c r="L387" t="s">
        <v>45</v>
      </c>
      <c r="M387" t="s">
        <v>29</v>
      </c>
      <c r="N387">
        <v>7</v>
      </c>
      <c r="O387" t="str">
        <f t="shared" ref="O387:O450" si="6">IF(N387&gt;3,"Extended","Normal")</f>
        <v>Extended</v>
      </c>
    </row>
    <row r="388" spans="1:15" x14ac:dyDescent="0.3">
      <c r="A388" t="s">
        <v>824</v>
      </c>
      <c r="B388" t="s">
        <v>825</v>
      </c>
      <c r="C388">
        <v>44</v>
      </c>
      <c r="D388" t="s">
        <v>16</v>
      </c>
      <c r="E388" s="1">
        <v>45798</v>
      </c>
      <c r="F388" s="1">
        <v>45807</v>
      </c>
      <c r="G388" t="s">
        <v>26</v>
      </c>
      <c r="H388" t="s">
        <v>48</v>
      </c>
      <c r="I388">
        <v>8688</v>
      </c>
      <c r="J388" t="s">
        <v>19</v>
      </c>
      <c r="K388" t="s">
        <v>49</v>
      </c>
      <c r="L388" t="s">
        <v>21</v>
      </c>
      <c r="M388" t="s">
        <v>50</v>
      </c>
      <c r="N388">
        <v>9</v>
      </c>
      <c r="O388" t="str">
        <f t="shared" si="6"/>
        <v>Extended</v>
      </c>
    </row>
    <row r="389" spans="1:15" x14ac:dyDescent="0.3">
      <c r="A389" t="s">
        <v>826</v>
      </c>
      <c r="B389" t="s">
        <v>827</v>
      </c>
      <c r="C389">
        <v>44</v>
      </c>
      <c r="D389" t="s">
        <v>25</v>
      </c>
      <c r="E389" s="1">
        <v>45591</v>
      </c>
      <c r="F389" s="1">
        <v>45605</v>
      </c>
      <c r="G389" t="s">
        <v>17</v>
      </c>
      <c r="H389" t="s">
        <v>89</v>
      </c>
      <c r="I389">
        <v>3199</v>
      </c>
      <c r="J389" t="s">
        <v>19</v>
      </c>
      <c r="K389" t="s">
        <v>133</v>
      </c>
      <c r="L389" t="s">
        <v>36</v>
      </c>
      <c r="M389" t="s">
        <v>29</v>
      </c>
      <c r="N389">
        <v>14</v>
      </c>
      <c r="O389" t="str">
        <f t="shared" si="6"/>
        <v>Extended</v>
      </c>
    </row>
    <row r="390" spans="1:15" x14ac:dyDescent="0.3">
      <c r="A390" t="s">
        <v>828</v>
      </c>
      <c r="B390" t="s">
        <v>829</v>
      </c>
      <c r="C390">
        <v>88</v>
      </c>
      <c r="D390" t="s">
        <v>25</v>
      </c>
      <c r="E390" s="1">
        <v>45762</v>
      </c>
      <c r="F390" s="1">
        <v>45773</v>
      </c>
      <c r="G390" t="s">
        <v>94</v>
      </c>
      <c r="H390" t="s">
        <v>33</v>
      </c>
      <c r="I390">
        <v>7878</v>
      </c>
      <c r="J390" t="s">
        <v>19</v>
      </c>
      <c r="K390" t="s">
        <v>40</v>
      </c>
      <c r="L390" t="s">
        <v>28</v>
      </c>
      <c r="M390" t="s">
        <v>29</v>
      </c>
      <c r="N390">
        <v>11</v>
      </c>
      <c r="O390" t="str">
        <f t="shared" si="6"/>
        <v>Extended</v>
      </c>
    </row>
    <row r="391" spans="1:15" x14ac:dyDescent="0.3">
      <c r="A391" t="s">
        <v>830</v>
      </c>
      <c r="B391" t="s">
        <v>831</v>
      </c>
      <c r="C391">
        <v>18</v>
      </c>
      <c r="D391" t="s">
        <v>16</v>
      </c>
      <c r="E391" s="1">
        <v>45442</v>
      </c>
      <c r="F391" s="1">
        <v>45449</v>
      </c>
      <c r="G391" t="s">
        <v>32</v>
      </c>
      <c r="H391" t="s">
        <v>63</v>
      </c>
      <c r="I391">
        <v>4471</v>
      </c>
      <c r="J391" t="s">
        <v>34</v>
      </c>
      <c r="K391" t="s">
        <v>35</v>
      </c>
      <c r="L391" t="s">
        <v>45</v>
      </c>
      <c r="M391" t="s">
        <v>50</v>
      </c>
      <c r="N391">
        <v>7</v>
      </c>
      <c r="O391" t="str">
        <f t="shared" si="6"/>
        <v>Extended</v>
      </c>
    </row>
    <row r="392" spans="1:15" x14ac:dyDescent="0.3">
      <c r="A392" t="s">
        <v>832</v>
      </c>
      <c r="B392" t="s">
        <v>833</v>
      </c>
      <c r="C392">
        <v>39</v>
      </c>
      <c r="D392" t="s">
        <v>16</v>
      </c>
      <c r="E392" s="1">
        <v>45630</v>
      </c>
      <c r="F392" s="1">
        <v>45636</v>
      </c>
      <c r="G392" t="s">
        <v>17</v>
      </c>
      <c r="H392" t="s">
        <v>89</v>
      </c>
      <c r="I392">
        <v>8872</v>
      </c>
      <c r="J392" t="s">
        <v>19</v>
      </c>
      <c r="K392" t="s">
        <v>44</v>
      </c>
      <c r="L392" t="s">
        <v>45</v>
      </c>
      <c r="M392" t="s">
        <v>29</v>
      </c>
      <c r="N392">
        <v>6</v>
      </c>
      <c r="O392" t="str">
        <f t="shared" si="6"/>
        <v>Extended</v>
      </c>
    </row>
    <row r="393" spans="1:15" x14ac:dyDescent="0.3">
      <c r="A393" t="s">
        <v>834</v>
      </c>
      <c r="B393" t="s">
        <v>835</v>
      </c>
      <c r="C393">
        <v>60</v>
      </c>
      <c r="D393" t="s">
        <v>25</v>
      </c>
      <c r="E393" s="1">
        <v>45718</v>
      </c>
      <c r="F393" s="1">
        <v>45726</v>
      </c>
      <c r="G393" t="s">
        <v>94</v>
      </c>
      <c r="H393" t="s">
        <v>63</v>
      </c>
      <c r="I393">
        <v>3265</v>
      </c>
      <c r="J393" t="s">
        <v>34</v>
      </c>
      <c r="K393" t="s">
        <v>44</v>
      </c>
      <c r="L393" t="s">
        <v>78</v>
      </c>
      <c r="M393" t="s">
        <v>29</v>
      </c>
      <c r="N393">
        <v>8</v>
      </c>
      <c r="O393" t="str">
        <f t="shared" si="6"/>
        <v>Extended</v>
      </c>
    </row>
    <row r="394" spans="1:15" x14ac:dyDescent="0.3">
      <c r="A394" t="s">
        <v>836</v>
      </c>
      <c r="B394" t="s">
        <v>837</v>
      </c>
      <c r="C394">
        <v>42</v>
      </c>
      <c r="D394" t="s">
        <v>25</v>
      </c>
      <c r="E394" s="1">
        <v>45639</v>
      </c>
      <c r="F394" s="1">
        <v>45645</v>
      </c>
      <c r="G394" t="s">
        <v>66</v>
      </c>
      <c r="H394" t="s">
        <v>63</v>
      </c>
      <c r="I394">
        <v>8594</v>
      </c>
      <c r="J394" t="s">
        <v>19</v>
      </c>
      <c r="K394" t="s">
        <v>20</v>
      </c>
      <c r="L394" t="s">
        <v>21</v>
      </c>
      <c r="M394" t="s">
        <v>29</v>
      </c>
      <c r="N394">
        <v>6</v>
      </c>
      <c r="O394" t="str">
        <f t="shared" si="6"/>
        <v>Extended</v>
      </c>
    </row>
    <row r="395" spans="1:15" x14ac:dyDescent="0.3">
      <c r="A395" t="s">
        <v>838</v>
      </c>
      <c r="B395" t="s">
        <v>839</v>
      </c>
      <c r="C395">
        <v>30</v>
      </c>
      <c r="D395" t="s">
        <v>16</v>
      </c>
      <c r="E395" s="1">
        <v>45736</v>
      </c>
      <c r="F395" s="1">
        <v>45738</v>
      </c>
      <c r="G395" t="s">
        <v>17</v>
      </c>
      <c r="H395" t="s">
        <v>63</v>
      </c>
      <c r="I395">
        <v>3912</v>
      </c>
      <c r="J395" t="s">
        <v>19</v>
      </c>
      <c r="K395" t="s">
        <v>49</v>
      </c>
      <c r="L395" t="s">
        <v>21</v>
      </c>
      <c r="M395" t="s">
        <v>22</v>
      </c>
      <c r="N395">
        <v>2</v>
      </c>
      <c r="O395" t="str">
        <f t="shared" si="6"/>
        <v>Normal</v>
      </c>
    </row>
    <row r="396" spans="1:15" x14ac:dyDescent="0.3">
      <c r="A396" t="s">
        <v>840</v>
      </c>
      <c r="B396" t="s">
        <v>841</v>
      </c>
      <c r="C396">
        <v>56</v>
      </c>
      <c r="D396" t="s">
        <v>16</v>
      </c>
      <c r="E396" s="1">
        <v>45511</v>
      </c>
      <c r="F396" s="1">
        <v>45519</v>
      </c>
      <c r="G396" t="s">
        <v>62</v>
      </c>
      <c r="H396" t="s">
        <v>27</v>
      </c>
      <c r="I396">
        <v>9021</v>
      </c>
      <c r="J396" t="s">
        <v>19</v>
      </c>
      <c r="K396" t="s">
        <v>20</v>
      </c>
      <c r="L396" t="s">
        <v>21</v>
      </c>
      <c r="M396" t="s">
        <v>22</v>
      </c>
      <c r="N396">
        <v>8</v>
      </c>
      <c r="O396" t="str">
        <f t="shared" si="6"/>
        <v>Extended</v>
      </c>
    </row>
    <row r="397" spans="1:15" x14ac:dyDescent="0.3">
      <c r="A397" t="s">
        <v>842</v>
      </c>
      <c r="B397" t="s">
        <v>843</v>
      </c>
      <c r="C397">
        <v>89</v>
      </c>
      <c r="D397" t="s">
        <v>25</v>
      </c>
      <c r="E397" s="1">
        <v>45628</v>
      </c>
      <c r="F397" s="1">
        <v>45629</v>
      </c>
      <c r="G397" t="s">
        <v>62</v>
      </c>
      <c r="H397" t="s">
        <v>48</v>
      </c>
      <c r="I397">
        <v>3004</v>
      </c>
      <c r="J397" t="s">
        <v>19</v>
      </c>
      <c r="K397" t="s">
        <v>35</v>
      </c>
      <c r="L397" t="s">
        <v>28</v>
      </c>
      <c r="M397" t="s">
        <v>22</v>
      </c>
      <c r="N397">
        <v>1</v>
      </c>
      <c r="O397" t="str">
        <f t="shared" si="6"/>
        <v>Normal</v>
      </c>
    </row>
    <row r="398" spans="1:15" x14ac:dyDescent="0.3">
      <c r="A398" t="s">
        <v>844</v>
      </c>
      <c r="B398" t="s">
        <v>845</v>
      </c>
      <c r="C398">
        <v>76</v>
      </c>
      <c r="D398" t="s">
        <v>25</v>
      </c>
      <c r="E398" s="1">
        <v>45790</v>
      </c>
      <c r="F398" s="1">
        <v>45792</v>
      </c>
      <c r="G398" t="s">
        <v>26</v>
      </c>
      <c r="H398" t="s">
        <v>53</v>
      </c>
      <c r="I398">
        <v>7600</v>
      </c>
      <c r="J398" t="s">
        <v>19</v>
      </c>
      <c r="K398" t="s">
        <v>49</v>
      </c>
      <c r="L398" t="s">
        <v>55</v>
      </c>
      <c r="M398" t="s">
        <v>50</v>
      </c>
      <c r="N398">
        <v>2</v>
      </c>
      <c r="O398" t="str">
        <f t="shared" si="6"/>
        <v>Normal</v>
      </c>
    </row>
    <row r="399" spans="1:15" x14ac:dyDescent="0.3">
      <c r="A399" t="s">
        <v>846</v>
      </c>
      <c r="B399" t="s">
        <v>847</v>
      </c>
      <c r="C399">
        <v>19</v>
      </c>
      <c r="D399" t="s">
        <v>25</v>
      </c>
      <c r="E399" s="1">
        <v>45498</v>
      </c>
      <c r="F399" s="1">
        <v>45502</v>
      </c>
      <c r="G399" t="s">
        <v>94</v>
      </c>
      <c r="H399" t="s">
        <v>33</v>
      </c>
      <c r="I399">
        <v>5159</v>
      </c>
      <c r="J399" t="s">
        <v>19</v>
      </c>
      <c r="K399" t="s">
        <v>20</v>
      </c>
      <c r="L399" t="s">
        <v>59</v>
      </c>
      <c r="M399" t="s">
        <v>50</v>
      </c>
      <c r="N399">
        <v>4</v>
      </c>
      <c r="O399" t="str">
        <f t="shared" si="6"/>
        <v>Extended</v>
      </c>
    </row>
    <row r="400" spans="1:15" x14ac:dyDescent="0.3">
      <c r="A400" t="s">
        <v>848</v>
      </c>
      <c r="B400" t="s">
        <v>849</v>
      </c>
      <c r="C400">
        <v>28</v>
      </c>
      <c r="D400" t="s">
        <v>16</v>
      </c>
      <c r="E400" s="1">
        <v>45672</v>
      </c>
      <c r="F400" s="1">
        <v>45673</v>
      </c>
      <c r="G400" t="s">
        <v>66</v>
      </c>
      <c r="H400" t="s">
        <v>53</v>
      </c>
      <c r="I400">
        <v>1423</v>
      </c>
      <c r="J400" t="s">
        <v>34</v>
      </c>
      <c r="K400" t="s">
        <v>40</v>
      </c>
      <c r="L400" t="s">
        <v>55</v>
      </c>
      <c r="M400" t="s">
        <v>50</v>
      </c>
      <c r="N400">
        <v>1</v>
      </c>
      <c r="O400" t="str">
        <f t="shared" si="6"/>
        <v>Normal</v>
      </c>
    </row>
    <row r="401" spans="1:15" x14ac:dyDescent="0.3">
      <c r="A401" t="s">
        <v>850</v>
      </c>
      <c r="B401" t="s">
        <v>851</v>
      </c>
      <c r="C401">
        <v>45</v>
      </c>
      <c r="D401" t="s">
        <v>25</v>
      </c>
      <c r="E401" s="1">
        <v>45559</v>
      </c>
      <c r="F401" s="1">
        <v>45568</v>
      </c>
      <c r="G401" t="s">
        <v>62</v>
      </c>
      <c r="H401" t="s">
        <v>27</v>
      </c>
      <c r="I401">
        <v>4630</v>
      </c>
      <c r="J401" t="s">
        <v>34</v>
      </c>
      <c r="K401" t="s">
        <v>40</v>
      </c>
      <c r="L401" t="s">
        <v>78</v>
      </c>
      <c r="M401" t="s">
        <v>29</v>
      </c>
      <c r="N401">
        <v>9</v>
      </c>
      <c r="O401" t="str">
        <f t="shared" si="6"/>
        <v>Extended</v>
      </c>
    </row>
    <row r="402" spans="1:15" x14ac:dyDescent="0.3">
      <c r="A402" t="s">
        <v>852</v>
      </c>
      <c r="B402" t="s">
        <v>853</v>
      </c>
      <c r="C402">
        <v>10</v>
      </c>
      <c r="D402" t="s">
        <v>16</v>
      </c>
      <c r="E402" s="1">
        <v>45625</v>
      </c>
      <c r="F402" s="1">
        <v>45636</v>
      </c>
      <c r="G402" t="s">
        <v>62</v>
      </c>
      <c r="H402" t="s">
        <v>48</v>
      </c>
      <c r="I402">
        <v>3587</v>
      </c>
      <c r="J402" t="s">
        <v>34</v>
      </c>
      <c r="K402" t="s">
        <v>133</v>
      </c>
      <c r="L402" t="s">
        <v>59</v>
      </c>
      <c r="M402" t="s">
        <v>22</v>
      </c>
      <c r="N402">
        <v>11</v>
      </c>
      <c r="O402" t="str">
        <f t="shared" si="6"/>
        <v>Extended</v>
      </c>
    </row>
    <row r="403" spans="1:15" x14ac:dyDescent="0.3">
      <c r="A403" t="s">
        <v>854</v>
      </c>
      <c r="B403" t="s">
        <v>855</v>
      </c>
      <c r="C403">
        <v>74</v>
      </c>
      <c r="D403" t="s">
        <v>16</v>
      </c>
      <c r="E403" s="1">
        <v>45671</v>
      </c>
      <c r="F403" s="1">
        <v>45679</v>
      </c>
      <c r="G403" t="s">
        <v>26</v>
      </c>
      <c r="H403" t="s">
        <v>53</v>
      </c>
      <c r="I403">
        <v>9287</v>
      </c>
      <c r="J403" t="s">
        <v>19</v>
      </c>
      <c r="K403" t="s">
        <v>49</v>
      </c>
      <c r="L403" t="s">
        <v>59</v>
      </c>
      <c r="M403" t="s">
        <v>29</v>
      </c>
      <c r="N403">
        <v>8</v>
      </c>
      <c r="O403" t="str">
        <f t="shared" si="6"/>
        <v>Extended</v>
      </c>
    </row>
    <row r="404" spans="1:15" x14ac:dyDescent="0.3">
      <c r="A404" t="s">
        <v>856</v>
      </c>
      <c r="B404" t="s">
        <v>857</v>
      </c>
      <c r="C404">
        <v>52</v>
      </c>
      <c r="D404" t="s">
        <v>16</v>
      </c>
      <c r="E404" s="1">
        <v>45447</v>
      </c>
      <c r="F404" s="1">
        <v>45461</v>
      </c>
      <c r="G404" t="s">
        <v>32</v>
      </c>
      <c r="H404" t="s">
        <v>39</v>
      </c>
      <c r="I404">
        <v>2083</v>
      </c>
      <c r="J404" t="s">
        <v>34</v>
      </c>
      <c r="K404" t="s">
        <v>35</v>
      </c>
      <c r="L404" t="s">
        <v>78</v>
      </c>
      <c r="M404" t="s">
        <v>29</v>
      </c>
      <c r="N404">
        <v>14</v>
      </c>
      <c r="O404" t="str">
        <f t="shared" si="6"/>
        <v>Extended</v>
      </c>
    </row>
    <row r="405" spans="1:15" x14ac:dyDescent="0.3">
      <c r="A405" t="s">
        <v>858</v>
      </c>
      <c r="B405" t="s">
        <v>859</v>
      </c>
      <c r="C405">
        <v>17</v>
      </c>
      <c r="D405" t="s">
        <v>25</v>
      </c>
      <c r="E405" s="1">
        <v>45662</v>
      </c>
      <c r="F405" s="1">
        <v>45664</v>
      </c>
      <c r="G405" t="s">
        <v>17</v>
      </c>
      <c r="H405" t="s">
        <v>73</v>
      </c>
      <c r="I405">
        <v>7472</v>
      </c>
      <c r="J405" t="s">
        <v>34</v>
      </c>
      <c r="K405" t="s">
        <v>40</v>
      </c>
      <c r="L405" t="s">
        <v>28</v>
      </c>
      <c r="M405" t="s">
        <v>29</v>
      </c>
      <c r="N405">
        <v>2</v>
      </c>
      <c r="O405" t="str">
        <f t="shared" si="6"/>
        <v>Normal</v>
      </c>
    </row>
    <row r="406" spans="1:15" x14ac:dyDescent="0.3">
      <c r="A406" t="s">
        <v>860</v>
      </c>
      <c r="B406" t="s">
        <v>861</v>
      </c>
      <c r="C406">
        <v>31</v>
      </c>
      <c r="D406" t="s">
        <v>16</v>
      </c>
      <c r="E406" s="1">
        <v>45465</v>
      </c>
      <c r="F406" s="1">
        <v>45472</v>
      </c>
      <c r="G406" t="s">
        <v>43</v>
      </c>
      <c r="H406" t="s">
        <v>18</v>
      </c>
      <c r="I406">
        <v>3797</v>
      </c>
      <c r="J406" t="s">
        <v>19</v>
      </c>
      <c r="K406" t="s">
        <v>49</v>
      </c>
      <c r="L406" t="s">
        <v>28</v>
      </c>
      <c r="M406" t="s">
        <v>50</v>
      </c>
      <c r="N406">
        <v>7</v>
      </c>
      <c r="O406" t="str">
        <f t="shared" si="6"/>
        <v>Extended</v>
      </c>
    </row>
    <row r="407" spans="1:15" x14ac:dyDescent="0.3">
      <c r="A407" t="s">
        <v>862</v>
      </c>
      <c r="B407" t="s">
        <v>863</v>
      </c>
      <c r="C407">
        <v>58</v>
      </c>
      <c r="D407" t="s">
        <v>16</v>
      </c>
      <c r="E407" s="1">
        <v>45457</v>
      </c>
      <c r="F407" s="1">
        <v>45462</v>
      </c>
      <c r="G407" t="s">
        <v>43</v>
      </c>
      <c r="H407" t="s">
        <v>27</v>
      </c>
      <c r="I407">
        <v>3078</v>
      </c>
      <c r="J407" t="s">
        <v>34</v>
      </c>
      <c r="K407" t="s">
        <v>44</v>
      </c>
      <c r="L407" t="s">
        <v>36</v>
      </c>
      <c r="M407" t="s">
        <v>22</v>
      </c>
      <c r="N407">
        <v>5</v>
      </c>
      <c r="O407" t="str">
        <f t="shared" si="6"/>
        <v>Extended</v>
      </c>
    </row>
    <row r="408" spans="1:15" x14ac:dyDescent="0.3">
      <c r="A408" t="s">
        <v>864</v>
      </c>
      <c r="B408" t="s">
        <v>865</v>
      </c>
      <c r="C408">
        <v>39</v>
      </c>
      <c r="D408" t="s">
        <v>25</v>
      </c>
      <c r="E408" s="1">
        <v>45779</v>
      </c>
      <c r="F408" s="1">
        <v>45788</v>
      </c>
      <c r="G408" t="s">
        <v>43</v>
      </c>
      <c r="H408" t="s">
        <v>48</v>
      </c>
      <c r="I408">
        <v>1621</v>
      </c>
      <c r="J408" t="s">
        <v>19</v>
      </c>
      <c r="K408" t="s">
        <v>44</v>
      </c>
      <c r="L408" t="s">
        <v>78</v>
      </c>
      <c r="M408" t="s">
        <v>29</v>
      </c>
      <c r="N408">
        <v>9</v>
      </c>
      <c r="O408" t="str">
        <f t="shared" si="6"/>
        <v>Extended</v>
      </c>
    </row>
    <row r="409" spans="1:15" x14ac:dyDescent="0.3">
      <c r="A409" t="s">
        <v>866</v>
      </c>
      <c r="B409" t="s">
        <v>867</v>
      </c>
      <c r="C409">
        <v>30</v>
      </c>
      <c r="D409" t="s">
        <v>25</v>
      </c>
      <c r="E409" s="1">
        <v>45787</v>
      </c>
      <c r="F409" s="1">
        <v>45800</v>
      </c>
      <c r="G409" t="s">
        <v>26</v>
      </c>
      <c r="H409" t="s">
        <v>63</v>
      </c>
      <c r="I409">
        <v>9446</v>
      </c>
      <c r="J409" t="s">
        <v>34</v>
      </c>
      <c r="K409" t="s">
        <v>54</v>
      </c>
      <c r="L409" t="s">
        <v>45</v>
      </c>
      <c r="M409" t="s">
        <v>50</v>
      </c>
      <c r="N409">
        <v>13</v>
      </c>
      <c r="O409" t="str">
        <f t="shared" si="6"/>
        <v>Extended</v>
      </c>
    </row>
    <row r="410" spans="1:15" x14ac:dyDescent="0.3">
      <c r="A410" t="s">
        <v>868</v>
      </c>
      <c r="B410" t="s">
        <v>869</v>
      </c>
      <c r="C410">
        <v>69</v>
      </c>
      <c r="D410" t="s">
        <v>16</v>
      </c>
      <c r="E410" s="1">
        <v>45508</v>
      </c>
      <c r="F410" s="1">
        <v>45510</v>
      </c>
      <c r="G410" t="s">
        <v>32</v>
      </c>
      <c r="H410" t="s">
        <v>89</v>
      </c>
      <c r="I410">
        <v>4890</v>
      </c>
      <c r="J410" t="s">
        <v>19</v>
      </c>
      <c r="K410" t="s">
        <v>40</v>
      </c>
      <c r="L410" t="s">
        <v>59</v>
      </c>
      <c r="M410" t="s">
        <v>22</v>
      </c>
      <c r="N410">
        <v>2</v>
      </c>
      <c r="O410" t="str">
        <f t="shared" si="6"/>
        <v>Normal</v>
      </c>
    </row>
    <row r="411" spans="1:15" x14ac:dyDescent="0.3">
      <c r="A411" t="s">
        <v>870</v>
      </c>
      <c r="B411" t="s">
        <v>871</v>
      </c>
      <c r="C411">
        <v>59</v>
      </c>
      <c r="D411" t="s">
        <v>16</v>
      </c>
      <c r="E411" s="1">
        <v>45696</v>
      </c>
      <c r="F411" s="1">
        <v>45705</v>
      </c>
      <c r="G411" t="s">
        <v>94</v>
      </c>
      <c r="H411" t="s">
        <v>39</v>
      </c>
      <c r="I411">
        <v>6963</v>
      </c>
      <c r="J411" t="s">
        <v>34</v>
      </c>
      <c r="K411" t="s">
        <v>44</v>
      </c>
      <c r="L411" t="s">
        <v>21</v>
      </c>
      <c r="M411" t="s">
        <v>50</v>
      </c>
      <c r="N411">
        <v>9</v>
      </c>
      <c r="O411" t="str">
        <f t="shared" si="6"/>
        <v>Extended</v>
      </c>
    </row>
    <row r="412" spans="1:15" x14ac:dyDescent="0.3">
      <c r="A412" t="s">
        <v>872</v>
      </c>
      <c r="B412" t="s">
        <v>873</v>
      </c>
      <c r="C412">
        <v>22</v>
      </c>
      <c r="D412" t="s">
        <v>25</v>
      </c>
      <c r="E412" s="1">
        <v>45546</v>
      </c>
      <c r="F412" s="1">
        <v>45553</v>
      </c>
      <c r="G412" t="s">
        <v>43</v>
      </c>
      <c r="H412" t="s">
        <v>33</v>
      </c>
      <c r="I412">
        <v>2805</v>
      </c>
      <c r="J412" t="s">
        <v>19</v>
      </c>
      <c r="K412" t="s">
        <v>44</v>
      </c>
      <c r="L412" t="s">
        <v>28</v>
      </c>
      <c r="M412" t="s">
        <v>22</v>
      </c>
      <c r="N412">
        <v>7</v>
      </c>
      <c r="O412" t="str">
        <f t="shared" si="6"/>
        <v>Extended</v>
      </c>
    </row>
    <row r="413" spans="1:15" x14ac:dyDescent="0.3">
      <c r="A413" t="s">
        <v>874</v>
      </c>
      <c r="B413" t="s">
        <v>875</v>
      </c>
      <c r="C413">
        <v>27</v>
      </c>
      <c r="D413" t="s">
        <v>25</v>
      </c>
      <c r="E413" s="1">
        <v>45488</v>
      </c>
      <c r="F413" s="1">
        <v>45494</v>
      </c>
      <c r="G413" t="s">
        <v>94</v>
      </c>
      <c r="H413" t="s">
        <v>89</v>
      </c>
      <c r="I413">
        <v>2555</v>
      </c>
      <c r="J413" t="s">
        <v>19</v>
      </c>
      <c r="K413" t="s">
        <v>40</v>
      </c>
      <c r="L413" t="s">
        <v>59</v>
      </c>
      <c r="M413" t="s">
        <v>29</v>
      </c>
      <c r="N413">
        <v>6</v>
      </c>
      <c r="O413" t="str">
        <f t="shared" si="6"/>
        <v>Extended</v>
      </c>
    </row>
    <row r="414" spans="1:15" x14ac:dyDescent="0.3">
      <c r="A414" t="s">
        <v>876</v>
      </c>
      <c r="B414" t="s">
        <v>877</v>
      </c>
      <c r="C414">
        <v>61</v>
      </c>
      <c r="D414" t="s">
        <v>16</v>
      </c>
      <c r="E414" s="1">
        <v>45597</v>
      </c>
      <c r="F414" s="1">
        <v>45601</v>
      </c>
      <c r="G414" t="s">
        <v>32</v>
      </c>
      <c r="H414" t="s">
        <v>89</v>
      </c>
      <c r="I414">
        <v>5881</v>
      </c>
      <c r="J414" t="s">
        <v>19</v>
      </c>
      <c r="K414" t="s">
        <v>35</v>
      </c>
      <c r="L414" t="s">
        <v>55</v>
      </c>
      <c r="M414" t="s">
        <v>29</v>
      </c>
      <c r="N414">
        <v>4</v>
      </c>
      <c r="O414" t="str">
        <f t="shared" si="6"/>
        <v>Extended</v>
      </c>
    </row>
    <row r="415" spans="1:15" x14ac:dyDescent="0.3">
      <c r="A415" t="s">
        <v>878</v>
      </c>
      <c r="B415" t="s">
        <v>879</v>
      </c>
      <c r="C415">
        <v>71</v>
      </c>
      <c r="D415" t="s">
        <v>16</v>
      </c>
      <c r="E415" s="1">
        <v>45647</v>
      </c>
      <c r="F415" s="1">
        <v>45650</v>
      </c>
      <c r="G415" t="s">
        <v>62</v>
      </c>
      <c r="H415" t="s">
        <v>63</v>
      </c>
      <c r="I415">
        <v>4030</v>
      </c>
      <c r="J415" t="s">
        <v>34</v>
      </c>
      <c r="K415" t="s">
        <v>40</v>
      </c>
      <c r="L415" t="s">
        <v>55</v>
      </c>
      <c r="M415" t="s">
        <v>50</v>
      </c>
      <c r="N415">
        <v>3</v>
      </c>
      <c r="O415" t="str">
        <f t="shared" si="6"/>
        <v>Normal</v>
      </c>
    </row>
    <row r="416" spans="1:15" x14ac:dyDescent="0.3">
      <c r="A416" t="s">
        <v>880</v>
      </c>
      <c r="B416" t="s">
        <v>881</v>
      </c>
      <c r="C416">
        <v>81</v>
      </c>
      <c r="D416" t="s">
        <v>25</v>
      </c>
      <c r="E416" s="1">
        <v>45698</v>
      </c>
      <c r="F416" s="1">
        <v>45700</v>
      </c>
      <c r="G416" t="s">
        <v>43</v>
      </c>
      <c r="H416" t="s">
        <v>27</v>
      </c>
      <c r="I416">
        <v>9496</v>
      </c>
      <c r="J416" t="s">
        <v>34</v>
      </c>
      <c r="K416" t="s">
        <v>20</v>
      </c>
      <c r="L416" t="s">
        <v>28</v>
      </c>
      <c r="M416" t="s">
        <v>22</v>
      </c>
      <c r="N416">
        <v>2</v>
      </c>
      <c r="O416" t="str">
        <f t="shared" si="6"/>
        <v>Normal</v>
      </c>
    </row>
    <row r="417" spans="1:15" x14ac:dyDescent="0.3">
      <c r="A417" t="s">
        <v>882</v>
      </c>
      <c r="B417" t="s">
        <v>883</v>
      </c>
      <c r="C417">
        <v>28</v>
      </c>
      <c r="D417" t="s">
        <v>25</v>
      </c>
      <c r="E417" s="1">
        <v>45743</v>
      </c>
      <c r="F417" s="1">
        <v>45744</v>
      </c>
      <c r="G417" t="s">
        <v>66</v>
      </c>
      <c r="H417" t="s">
        <v>63</v>
      </c>
      <c r="I417">
        <v>1943</v>
      </c>
      <c r="J417" t="s">
        <v>34</v>
      </c>
      <c r="K417" t="s">
        <v>35</v>
      </c>
      <c r="L417" t="s">
        <v>21</v>
      </c>
      <c r="M417" t="s">
        <v>50</v>
      </c>
      <c r="N417">
        <v>1</v>
      </c>
      <c r="O417" t="str">
        <f t="shared" si="6"/>
        <v>Normal</v>
      </c>
    </row>
    <row r="418" spans="1:15" x14ac:dyDescent="0.3">
      <c r="A418" t="s">
        <v>884</v>
      </c>
      <c r="B418" t="s">
        <v>885</v>
      </c>
      <c r="C418">
        <v>42</v>
      </c>
      <c r="D418" t="s">
        <v>25</v>
      </c>
      <c r="E418" s="1">
        <v>45621</v>
      </c>
      <c r="F418" s="1">
        <v>45630</v>
      </c>
      <c r="G418" t="s">
        <v>94</v>
      </c>
      <c r="H418" t="s">
        <v>33</v>
      </c>
      <c r="I418">
        <v>5857</v>
      </c>
      <c r="J418" t="s">
        <v>34</v>
      </c>
      <c r="K418" t="s">
        <v>49</v>
      </c>
      <c r="L418" t="s">
        <v>45</v>
      </c>
      <c r="M418" t="s">
        <v>22</v>
      </c>
      <c r="N418">
        <v>9</v>
      </c>
      <c r="O418" t="str">
        <f t="shared" si="6"/>
        <v>Extended</v>
      </c>
    </row>
    <row r="419" spans="1:15" x14ac:dyDescent="0.3">
      <c r="A419" t="s">
        <v>886</v>
      </c>
      <c r="B419" t="s">
        <v>887</v>
      </c>
      <c r="C419">
        <v>36</v>
      </c>
      <c r="D419" t="s">
        <v>16</v>
      </c>
      <c r="E419" s="1">
        <v>45723</v>
      </c>
      <c r="F419" s="1">
        <v>45731</v>
      </c>
      <c r="G419" t="s">
        <v>62</v>
      </c>
      <c r="H419" t="s">
        <v>89</v>
      </c>
      <c r="I419">
        <v>4999</v>
      </c>
      <c r="J419" t="s">
        <v>19</v>
      </c>
      <c r="K419" t="s">
        <v>49</v>
      </c>
      <c r="L419" t="s">
        <v>21</v>
      </c>
      <c r="M419" t="s">
        <v>50</v>
      </c>
      <c r="N419">
        <v>8</v>
      </c>
      <c r="O419" t="str">
        <f t="shared" si="6"/>
        <v>Extended</v>
      </c>
    </row>
    <row r="420" spans="1:15" x14ac:dyDescent="0.3">
      <c r="A420" t="s">
        <v>888</v>
      </c>
      <c r="B420" t="s">
        <v>889</v>
      </c>
      <c r="C420">
        <v>33</v>
      </c>
      <c r="D420" t="s">
        <v>16</v>
      </c>
      <c r="E420" s="1">
        <v>45564</v>
      </c>
      <c r="F420" s="1">
        <v>45569</v>
      </c>
      <c r="G420" t="s">
        <v>43</v>
      </c>
      <c r="H420" t="s">
        <v>89</v>
      </c>
      <c r="I420">
        <v>2758</v>
      </c>
      <c r="J420" t="s">
        <v>34</v>
      </c>
      <c r="K420" t="s">
        <v>54</v>
      </c>
      <c r="L420" t="s">
        <v>59</v>
      </c>
      <c r="M420" t="s">
        <v>29</v>
      </c>
      <c r="N420">
        <v>5</v>
      </c>
      <c r="O420" t="str">
        <f t="shared" si="6"/>
        <v>Extended</v>
      </c>
    </row>
    <row r="421" spans="1:15" x14ac:dyDescent="0.3">
      <c r="A421" t="s">
        <v>890</v>
      </c>
      <c r="B421" t="s">
        <v>891</v>
      </c>
      <c r="C421">
        <v>17</v>
      </c>
      <c r="D421" t="s">
        <v>16</v>
      </c>
      <c r="E421" s="1">
        <v>45669</v>
      </c>
      <c r="F421" s="1">
        <v>45676</v>
      </c>
      <c r="G421" t="s">
        <v>32</v>
      </c>
      <c r="H421" t="s">
        <v>33</v>
      </c>
      <c r="I421">
        <v>1878</v>
      </c>
      <c r="J421" t="s">
        <v>34</v>
      </c>
      <c r="K421" t="s">
        <v>40</v>
      </c>
      <c r="L421" t="s">
        <v>78</v>
      </c>
      <c r="M421" t="s">
        <v>22</v>
      </c>
      <c r="N421">
        <v>7</v>
      </c>
      <c r="O421" t="str">
        <f t="shared" si="6"/>
        <v>Extended</v>
      </c>
    </row>
    <row r="422" spans="1:15" x14ac:dyDescent="0.3">
      <c r="A422" t="s">
        <v>892</v>
      </c>
      <c r="B422" t="s">
        <v>893</v>
      </c>
      <c r="C422">
        <v>51</v>
      </c>
      <c r="D422" t="s">
        <v>16</v>
      </c>
      <c r="E422" s="1">
        <v>45622</v>
      </c>
      <c r="F422" s="1">
        <v>45628</v>
      </c>
      <c r="G422" t="s">
        <v>32</v>
      </c>
      <c r="H422" t="s">
        <v>53</v>
      </c>
      <c r="I422">
        <v>9383</v>
      </c>
      <c r="J422" t="s">
        <v>19</v>
      </c>
      <c r="K422" t="s">
        <v>54</v>
      </c>
      <c r="L422" t="s">
        <v>78</v>
      </c>
      <c r="M422" t="s">
        <v>29</v>
      </c>
      <c r="N422">
        <v>6</v>
      </c>
      <c r="O422" t="str">
        <f t="shared" si="6"/>
        <v>Extended</v>
      </c>
    </row>
    <row r="423" spans="1:15" x14ac:dyDescent="0.3">
      <c r="A423" t="s">
        <v>894</v>
      </c>
      <c r="B423" t="s">
        <v>895</v>
      </c>
      <c r="C423">
        <v>33</v>
      </c>
      <c r="D423" t="s">
        <v>25</v>
      </c>
      <c r="E423" s="1">
        <v>45521</v>
      </c>
      <c r="F423" s="1">
        <v>45526</v>
      </c>
      <c r="G423" t="s">
        <v>94</v>
      </c>
      <c r="H423" t="s">
        <v>63</v>
      </c>
      <c r="I423">
        <v>2521</v>
      </c>
      <c r="J423" t="s">
        <v>34</v>
      </c>
      <c r="K423" t="s">
        <v>133</v>
      </c>
      <c r="L423" t="s">
        <v>36</v>
      </c>
      <c r="M423" t="s">
        <v>50</v>
      </c>
      <c r="N423">
        <v>5</v>
      </c>
      <c r="O423" t="str">
        <f t="shared" si="6"/>
        <v>Extended</v>
      </c>
    </row>
    <row r="424" spans="1:15" x14ac:dyDescent="0.3">
      <c r="A424" t="s">
        <v>896</v>
      </c>
      <c r="B424" t="s">
        <v>897</v>
      </c>
      <c r="C424">
        <v>3</v>
      </c>
      <c r="D424" t="s">
        <v>16</v>
      </c>
      <c r="E424" s="1">
        <v>45791</v>
      </c>
      <c r="F424" s="1">
        <v>45802</v>
      </c>
      <c r="G424" t="s">
        <v>62</v>
      </c>
      <c r="H424" t="s">
        <v>63</v>
      </c>
      <c r="I424">
        <v>2688</v>
      </c>
      <c r="J424" t="s">
        <v>19</v>
      </c>
      <c r="K424" t="s">
        <v>133</v>
      </c>
      <c r="L424" t="s">
        <v>45</v>
      </c>
      <c r="M424" t="s">
        <v>29</v>
      </c>
      <c r="N424">
        <v>11</v>
      </c>
      <c r="O424" t="str">
        <f t="shared" si="6"/>
        <v>Extended</v>
      </c>
    </row>
    <row r="425" spans="1:15" x14ac:dyDescent="0.3">
      <c r="A425" t="s">
        <v>898</v>
      </c>
      <c r="B425" t="s">
        <v>899</v>
      </c>
      <c r="C425">
        <v>73</v>
      </c>
      <c r="D425" t="s">
        <v>16</v>
      </c>
      <c r="E425" s="1">
        <v>45683</v>
      </c>
      <c r="F425" s="1">
        <v>45690</v>
      </c>
      <c r="G425" t="s">
        <v>94</v>
      </c>
      <c r="H425" t="s">
        <v>27</v>
      </c>
      <c r="I425">
        <v>5339</v>
      </c>
      <c r="J425" t="s">
        <v>19</v>
      </c>
      <c r="K425" t="s">
        <v>40</v>
      </c>
      <c r="L425" t="s">
        <v>59</v>
      </c>
      <c r="M425" t="s">
        <v>50</v>
      </c>
      <c r="N425">
        <v>7</v>
      </c>
      <c r="O425" t="str">
        <f t="shared" si="6"/>
        <v>Extended</v>
      </c>
    </row>
    <row r="426" spans="1:15" x14ac:dyDescent="0.3">
      <c r="A426" t="s">
        <v>900</v>
      </c>
      <c r="B426" t="s">
        <v>901</v>
      </c>
      <c r="C426">
        <v>53</v>
      </c>
      <c r="D426" t="s">
        <v>25</v>
      </c>
      <c r="E426" s="1">
        <v>45674</v>
      </c>
      <c r="F426" s="1">
        <v>45675</v>
      </c>
      <c r="G426" t="s">
        <v>43</v>
      </c>
      <c r="H426" t="s">
        <v>27</v>
      </c>
      <c r="I426">
        <v>5621</v>
      </c>
      <c r="J426" t="s">
        <v>34</v>
      </c>
      <c r="K426" t="s">
        <v>54</v>
      </c>
      <c r="L426" t="s">
        <v>78</v>
      </c>
      <c r="M426" t="s">
        <v>50</v>
      </c>
      <c r="N426">
        <v>1</v>
      </c>
      <c r="O426" t="str">
        <f t="shared" si="6"/>
        <v>Normal</v>
      </c>
    </row>
    <row r="427" spans="1:15" x14ac:dyDescent="0.3">
      <c r="A427" t="s">
        <v>902</v>
      </c>
      <c r="B427" t="s">
        <v>903</v>
      </c>
      <c r="C427">
        <v>11</v>
      </c>
      <c r="D427" t="s">
        <v>25</v>
      </c>
      <c r="E427" s="1">
        <v>45707</v>
      </c>
      <c r="F427" s="1">
        <v>45716</v>
      </c>
      <c r="G427" t="s">
        <v>43</v>
      </c>
      <c r="H427" t="s">
        <v>18</v>
      </c>
      <c r="I427">
        <v>5727</v>
      </c>
      <c r="J427" t="s">
        <v>19</v>
      </c>
      <c r="K427" t="s">
        <v>54</v>
      </c>
      <c r="L427" t="s">
        <v>59</v>
      </c>
      <c r="M427" t="s">
        <v>22</v>
      </c>
      <c r="N427">
        <v>9</v>
      </c>
      <c r="O427" t="str">
        <f t="shared" si="6"/>
        <v>Extended</v>
      </c>
    </row>
    <row r="428" spans="1:15" x14ac:dyDescent="0.3">
      <c r="A428" t="s">
        <v>904</v>
      </c>
      <c r="B428" t="s">
        <v>905</v>
      </c>
      <c r="C428">
        <v>25</v>
      </c>
      <c r="D428" t="s">
        <v>25</v>
      </c>
      <c r="E428" s="1">
        <v>45726</v>
      </c>
      <c r="F428" s="1">
        <v>45732</v>
      </c>
      <c r="G428" t="s">
        <v>17</v>
      </c>
      <c r="H428" t="s">
        <v>39</v>
      </c>
      <c r="I428">
        <v>2915</v>
      </c>
      <c r="J428" t="s">
        <v>34</v>
      </c>
      <c r="K428" t="s">
        <v>54</v>
      </c>
      <c r="L428" t="s">
        <v>59</v>
      </c>
      <c r="M428" t="s">
        <v>22</v>
      </c>
      <c r="N428">
        <v>6</v>
      </c>
      <c r="O428" t="str">
        <f t="shared" si="6"/>
        <v>Extended</v>
      </c>
    </row>
    <row r="429" spans="1:15" x14ac:dyDescent="0.3">
      <c r="A429" t="s">
        <v>906</v>
      </c>
      <c r="B429" t="s">
        <v>907</v>
      </c>
      <c r="C429">
        <v>23</v>
      </c>
      <c r="D429" t="s">
        <v>25</v>
      </c>
      <c r="E429" s="1">
        <v>45575</v>
      </c>
      <c r="F429" s="1">
        <v>45581</v>
      </c>
      <c r="G429" t="s">
        <v>32</v>
      </c>
      <c r="H429" t="s">
        <v>39</v>
      </c>
      <c r="I429">
        <v>4555</v>
      </c>
      <c r="J429" t="s">
        <v>34</v>
      </c>
      <c r="K429" t="s">
        <v>54</v>
      </c>
      <c r="L429" t="s">
        <v>21</v>
      </c>
      <c r="M429" t="s">
        <v>50</v>
      </c>
      <c r="N429">
        <v>6</v>
      </c>
      <c r="O429" t="str">
        <f t="shared" si="6"/>
        <v>Extended</v>
      </c>
    </row>
    <row r="430" spans="1:15" x14ac:dyDescent="0.3">
      <c r="A430" t="s">
        <v>908</v>
      </c>
      <c r="B430" t="s">
        <v>909</v>
      </c>
      <c r="C430">
        <v>30</v>
      </c>
      <c r="D430" t="s">
        <v>25</v>
      </c>
      <c r="E430" s="1">
        <v>45736</v>
      </c>
      <c r="F430" s="1">
        <v>45747</v>
      </c>
      <c r="G430" t="s">
        <v>26</v>
      </c>
      <c r="H430" t="s">
        <v>89</v>
      </c>
      <c r="I430">
        <v>6478</v>
      </c>
      <c r="J430" t="s">
        <v>19</v>
      </c>
      <c r="K430" t="s">
        <v>40</v>
      </c>
      <c r="L430" t="s">
        <v>59</v>
      </c>
      <c r="M430" t="s">
        <v>22</v>
      </c>
      <c r="N430">
        <v>11</v>
      </c>
      <c r="O430" t="str">
        <f t="shared" si="6"/>
        <v>Extended</v>
      </c>
    </row>
    <row r="431" spans="1:15" x14ac:dyDescent="0.3">
      <c r="A431" t="s">
        <v>910</v>
      </c>
      <c r="B431" t="s">
        <v>911</v>
      </c>
      <c r="C431">
        <v>69</v>
      </c>
      <c r="D431" t="s">
        <v>16</v>
      </c>
      <c r="E431" s="1">
        <v>45660</v>
      </c>
      <c r="F431" s="1">
        <v>45662</v>
      </c>
      <c r="G431" t="s">
        <v>66</v>
      </c>
      <c r="H431" t="s">
        <v>58</v>
      </c>
      <c r="I431">
        <v>2464</v>
      </c>
      <c r="J431" t="s">
        <v>19</v>
      </c>
      <c r="K431" t="s">
        <v>54</v>
      </c>
      <c r="L431" t="s">
        <v>45</v>
      </c>
      <c r="M431" t="s">
        <v>50</v>
      </c>
      <c r="N431">
        <v>2</v>
      </c>
      <c r="O431" t="str">
        <f t="shared" si="6"/>
        <v>Normal</v>
      </c>
    </row>
    <row r="432" spans="1:15" x14ac:dyDescent="0.3">
      <c r="A432" t="s">
        <v>912</v>
      </c>
      <c r="B432" t="s">
        <v>913</v>
      </c>
      <c r="C432">
        <v>64</v>
      </c>
      <c r="D432" t="s">
        <v>16</v>
      </c>
      <c r="E432" s="1">
        <v>45713</v>
      </c>
      <c r="F432" s="1">
        <v>45724</v>
      </c>
      <c r="G432" t="s">
        <v>43</v>
      </c>
      <c r="H432" t="s">
        <v>18</v>
      </c>
      <c r="I432">
        <v>5041</v>
      </c>
      <c r="J432" t="s">
        <v>34</v>
      </c>
      <c r="K432" t="s">
        <v>54</v>
      </c>
      <c r="L432" t="s">
        <v>78</v>
      </c>
      <c r="M432" t="s">
        <v>50</v>
      </c>
      <c r="N432">
        <v>11</v>
      </c>
      <c r="O432" t="str">
        <f t="shared" si="6"/>
        <v>Extended</v>
      </c>
    </row>
    <row r="433" spans="1:15" x14ac:dyDescent="0.3">
      <c r="A433" t="s">
        <v>914</v>
      </c>
      <c r="B433" t="s">
        <v>915</v>
      </c>
      <c r="C433">
        <v>23</v>
      </c>
      <c r="D433" t="s">
        <v>16</v>
      </c>
      <c r="E433" s="1">
        <v>45624</v>
      </c>
      <c r="F433" s="1">
        <v>45628</v>
      </c>
      <c r="G433" t="s">
        <v>43</v>
      </c>
      <c r="H433" t="s">
        <v>27</v>
      </c>
      <c r="I433">
        <v>8218</v>
      </c>
      <c r="J433" t="s">
        <v>34</v>
      </c>
      <c r="K433" t="s">
        <v>40</v>
      </c>
      <c r="L433" t="s">
        <v>45</v>
      </c>
      <c r="M433" t="s">
        <v>22</v>
      </c>
      <c r="N433">
        <v>4</v>
      </c>
      <c r="O433" t="str">
        <f t="shared" si="6"/>
        <v>Extended</v>
      </c>
    </row>
    <row r="434" spans="1:15" x14ac:dyDescent="0.3">
      <c r="A434" t="s">
        <v>916</v>
      </c>
      <c r="B434" t="s">
        <v>917</v>
      </c>
      <c r="C434">
        <v>26</v>
      </c>
      <c r="D434" t="s">
        <v>16</v>
      </c>
      <c r="E434" s="1">
        <v>45805</v>
      </c>
      <c r="F434" s="1">
        <v>45812</v>
      </c>
      <c r="G434" t="s">
        <v>94</v>
      </c>
      <c r="H434" t="s">
        <v>53</v>
      </c>
      <c r="I434">
        <v>4505</v>
      </c>
      <c r="J434" t="s">
        <v>34</v>
      </c>
      <c r="K434" t="s">
        <v>49</v>
      </c>
      <c r="L434" t="s">
        <v>36</v>
      </c>
      <c r="M434" t="s">
        <v>22</v>
      </c>
      <c r="N434">
        <v>7</v>
      </c>
      <c r="O434" t="str">
        <f t="shared" si="6"/>
        <v>Extended</v>
      </c>
    </row>
    <row r="435" spans="1:15" x14ac:dyDescent="0.3">
      <c r="A435" t="s">
        <v>918</v>
      </c>
      <c r="B435" t="s">
        <v>919</v>
      </c>
      <c r="C435">
        <v>54</v>
      </c>
      <c r="D435" t="s">
        <v>16</v>
      </c>
      <c r="E435" s="1">
        <v>45560</v>
      </c>
      <c r="F435" s="1">
        <v>45571</v>
      </c>
      <c r="G435" t="s">
        <v>62</v>
      </c>
      <c r="H435" t="s">
        <v>33</v>
      </c>
      <c r="I435">
        <v>4950</v>
      </c>
      <c r="J435" t="s">
        <v>19</v>
      </c>
      <c r="K435" t="s">
        <v>44</v>
      </c>
      <c r="L435" t="s">
        <v>55</v>
      </c>
      <c r="M435" t="s">
        <v>29</v>
      </c>
      <c r="N435">
        <v>11</v>
      </c>
      <c r="O435" t="str">
        <f t="shared" si="6"/>
        <v>Extended</v>
      </c>
    </row>
    <row r="436" spans="1:15" x14ac:dyDescent="0.3">
      <c r="A436" t="s">
        <v>920</v>
      </c>
      <c r="B436" t="s">
        <v>921</v>
      </c>
      <c r="C436">
        <v>2</v>
      </c>
      <c r="D436" t="s">
        <v>25</v>
      </c>
      <c r="E436" s="1">
        <v>45689</v>
      </c>
      <c r="F436" s="1">
        <v>45690</v>
      </c>
      <c r="G436" t="s">
        <v>94</v>
      </c>
      <c r="H436" t="s">
        <v>39</v>
      </c>
      <c r="I436">
        <v>3873</v>
      </c>
      <c r="J436" t="s">
        <v>19</v>
      </c>
      <c r="K436" t="s">
        <v>133</v>
      </c>
      <c r="L436" t="s">
        <v>55</v>
      </c>
      <c r="M436" t="s">
        <v>22</v>
      </c>
      <c r="N436">
        <v>1</v>
      </c>
      <c r="O436" t="str">
        <f t="shared" si="6"/>
        <v>Normal</v>
      </c>
    </row>
    <row r="437" spans="1:15" x14ac:dyDescent="0.3">
      <c r="A437" t="s">
        <v>922</v>
      </c>
      <c r="B437" t="s">
        <v>923</v>
      </c>
      <c r="C437">
        <v>18</v>
      </c>
      <c r="D437" t="s">
        <v>16</v>
      </c>
      <c r="E437" s="1">
        <v>45663</v>
      </c>
      <c r="F437" s="1">
        <v>45665</v>
      </c>
      <c r="G437" t="s">
        <v>32</v>
      </c>
      <c r="H437" t="s">
        <v>33</v>
      </c>
      <c r="I437">
        <v>1904</v>
      </c>
      <c r="J437" t="s">
        <v>19</v>
      </c>
      <c r="K437" t="s">
        <v>54</v>
      </c>
      <c r="L437" t="s">
        <v>55</v>
      </c>
      <c r="M437" t="s">
        <v>29</v>
      </c>
      <c r="N437">
        <v>2</v>
      </c>
      <c r="O437" t="str">
        <f t="shared" si="6"/>
        <v>Normal</v>
      </c>
    </row>
    <row r="438" spans="1:15" x14ac:dyDescent="0.3">
      <c r="A438" t="s">
        <v>924</v>
      </c>
      <c r="B438" t="s">
        <v>925</v>
      </c>
      <c r="C438">
        <v>56</v>
      </c>
      <c r="D438" t="s">
        <v>16</v>
      </c>
      <c r="E438" s="1">
        <v>45634</v>
      </c>
      <c r="F438" s="1">
        <v>45648</v>
      </c>
      <c r="G438" t="s">
        <v>62</v>
      </c>
      <c r="H438" t="s">
        <v>18</v>
      </c>
      <c r="I438">
        <v>8327</v>
      </c>
      <c r="J438" t="s">
        <v>19</v>
      </c>
      <c r="K438" t="s">
        <v>35</v>
      </c>
      <c r="L438" t="s">
        <v>78</v>
      </c>
      <c r="M438" t="s">
        <v>29</v>
      </c>
      <c r="N438">
        <v>14</v>
      </c>
      <c r="O438" t="str">
        <f t="shared" si="6"/>
        <v>Extended</v>
      </c>
    </row>
    <row r="439" spans="1:15" x14ac:dyDescent="0.3">
      <c r="A439" t="s">
        <v>926</v>
      </c>
      <c r="B439" t="s">
        <v>927</v>
      </c>
      <c r="C439">
        <v>15</v>
      </c>
      <c r="D439" t="s">
        <v>25</v>
      </c>
      <c r="E439" s="1">
        <v>45624</v>
      </c>
      <c r="F439" s="1">
        <v>45634</v>
      </c>
      <c r="G439" t="s">
        <v>26</v>
      </c>
      <c r="H439" t="s">
        <v>18</v>
      </c>
      <c r="I439">
        <v>1122</v>
      </c>
      <c r="J439" t="s">
        <v>19</v>
      </c>
      <c r="K439" t="s">
        <v>35</v>
      </c>
      <c r="L439" t="s">
        <v>59</v>
      </c>
      <c r="M439" t="s">
        <v>50</v>
      </c>
      <c r="N439">
        <v>10</v>
      </c>
      <c r="O439" t="str">
        <f t="shared" si="6"/>
        <v>Extended</v>
      </c>
    </row>
    <row r="440" spans="1:15" x14ac:dyDescent="0.3">
      <c r="A440" t="s">
        <v>928</v>
      </c>
      <c r="B440" t="s">
        <v>929</v>
      </c>
      <c r="C440">
        <v>4</v>
      </c>
      <c r="D440" t="s">
        <v>25</v>
      </c>
      <c r="E440" s="1">
        <v>45666</v>
      </c>
      <c r="F440" s="1">
        <v>45668</v>
      </c>
      <c r="G440" t="s">
        <v>94</v>
      </c>
      <c r="H440" t="s">
        <v>58</v>
      </c>
      <c r="I440">
        <v>5127</v>
      </c>
      <c r="J440" t="s">
        <v>19</v>
      </c>
      <c r="K440" t="s">
        <v>44</v>
      </c>
      <c r="L440" t="s">
        <v>78</v>
      </c>
      <c r="M440" t="s">
        <v>50</v>
      </c>
      <c r="N440">
        <v>2</v>
      </c>
      <c r="O440" t="str">
        <f t="shared" si="6"/>
        <v>Normal</v>
      </c>
    </row>
    <row r="441" spans="1:15" x14ac:dyDescent="0.3">
      <c r="A441" t="s">
        <v>930</v>
      </c>
      <c r="B441" t="s">
        <v>931</v>
      </c>
      <c r="C441">
        <v>54</v>
      </c>
      <c r="D441" t="s">
        <v>25</v>
      </c>
      <c r="E441" s="1">
        <v>45610</v>
      </c>
      <c r="F441" s="1">
        <v>45616</v>
      </c>
      <c r="G441" t="s">
        <v>94</v>
      </c>
      <c r="H441" t="s">
        <v>48</v>
      </c>
      <c r="I441">
        <v>6969</v>
      </c>
      <c r="J441" t="s">
        <v>19</v>
      </c>
      <c r="K441" t="s">
        <v>20</v>
      </c>
      <c r="L441" t="s">
        <v>36</v>
      </c>
      <c r="M441" t="s">
        <v>29</v>
      </c>
      <c r="N441">
        <v>6</v>
      </c>
      <c r="O441" t="str">
        <f t="shared" si="6"/>
        <v>Extended</v>
      </c>
    </row>
    <row r="442" spans="1:15" x14ac:dyDescent="0.3">
      <c r="A442" t="s">
        <v>932</v>
      </c>
      <c r="B442" t="s">
        <v>933</v>
      </c>
      <c r="C442">
        <v>7</v>
      </c>
      <c r="D442" t="s">
        <v>25</v>
      </c>
      <c r="E442" s="1">
        <v>45465</v>
      </c>
      <c r="F442" s="1">
        <v>45475</v>
      </c>
      <c r="G442" t="s">
        <v>94</v>
      </c>
      <c r="H442" t="s">
        <v>18</v>
      </c>
      <c r="I442">
        <v>5592</v>
      </c>
      <c r="J442" t="s">
        <v>34</v>
      </c>
      <c r="K442" t="s">
        <v>54</v>
      </c>
      <c r="L442" t="s">
        <v>36</v>
      </c>
      <c r="M442" t="s">
        <v>22</v>
      </c>
      <c r="N442">
        <v>10</v>
      </c>
      <c r="O442" t="str">
        <f t="shared" si="6"/>
        <v>Extended</v>
      </c>
    </row>
    <row r="443" spans="1:15" x14ac:dyDescent="0.3">
      <c r="A443" t="s">
        <v>934</v>
      </c>
      <c r="B443" t="s">
        <v>935</v>
      </c>
      <c r="C443">
        <v>31</v>
      </c>
      <c r="D443" t="s">
        <v>16</v>
      </c>
      <c r="E443" s="1">
        <v>45442</v>
      </c>
      <c r="F443" s="1">
        <v>45456</v>
      </c>
      <c r="G443" t="s">
        <v>32</v>
      </c>
      <c r="H443" t="s">
        <v>58</v>
      </c>
      <c r="I443">
        <v>5943</v>
      </c>
      <c r="J443" t="s">
        <v>34</v>
      </c>
      <c r="K443" t="s">
        <v>20</v>
      </c>
      <c r="L443" t="s">
        <v>45</v>
      </c>
      <c r="M443" t="s">
        <v>29</v>
      </c>
      <c r="N443">
        <v>14</v>
      </c>
      <c r="O443" t="str">
        <f t="shared" si="6"/>
        <v>Extended</v>
      </c>
    </row>
    <row r="444" spans="1:15" x14ac:dyDescent="0.3">
      <c r="A444" t="s">
        <v>936</v>
      </c>
      <c r="B444" t="s">
        <v>937</v>
      </c>
      <c r="C444">
        <v>70</v>
      </c>
      <c r="D444" t="s">
        <v>16</v>
      </c>
      <c r="E444" s="1">
        <v>45500</v>
      </c>
      <c r="F444" s="1">
        <v>45512</v>
      </c>
      <c r="G444" t="s">
        <v>32</v>
      </c>
      <c r="H444" t="s">
        <v>18</v>
      </c>
      <c r="I444">
        <v>4559</v>
      </c>
      <c r="J444" t="s">
        <v>34</v>
      </c>
      <c r="K444" t="s">
        <v>20</v>
      </c>
      <c r="L444" t="s">
        <v>21</v>
      </c>
      <c r="M444" t="s">
        <v>50</v>
      </c>
      <c r="N444">
        <v>12</v>
      </c>
      <c r="O444" t="str">
        <f t="shared" si="6"/>
        <v>Extended</v>
      </c>
    </row>
    <row r="445" spans="1:15" x14ac:dyDescent="0.3">
      <c r="A445" t="s">
        <v>938</v>
      </c>
      <c r="B445" t="s">
        <v>939</v>
      </c>
      <c r="C445">
        <v>44</v>
      </c>
      <c r="D445" t="s">
        <v>16</v>
      </c>
      <c r="E445" s="1">
        <v>45463</v>
      </c>
      <c r="F445" s="1">
        <v>45472</v>
      </c>
      <c r="G445" t="s">
        <v>17</v>
      </c>
      <c r="H445" t="s">
        <v>89</v>
      </c>
      <c r="I445">
        <v>1587</v>
      </c>
      <c r="J445" t="s">
        <v>19</v>
      </c>
      <c r="K445" t="s">
        <v>40</v>
      </c>
      <c r="L445" t="s">
        <v>78</v>
      </c>
      <c r="M445" t="s">
        <v>50</v>
      </c>
      <c r="N445">
        <v>9</v>
      </c>
      <c r="O445" t="str">
        <f t="shared" si="6"/>
        <v>Extended</v>
      </c>
    </row>
    <row r="446" spans="1:15" x14ac:dyDescent="0.3">
      <c r="A446" t="s">
        <v>940</v>
      </c>
      <c r="B446" t="s">
        <v>941</v>
      </c>
      <c r="C446">
        <v>4</v>
      </c>
      <c r="D446" t="s">
        <v>16</v>
      </c>
      <c r="E446" s="1">
        <v>45675</v>
      </c>
      <c r="F446" s="1">
        <v>45679</v>
      </c>
      <c r="G446" t="s">
        <v>94</v>
      </c>
      <c r="H446" t="s">
        <v>63</v>
      </c>
      <c r="I446">
        <v>1368</v>
      </c>
      <c r="J446" t="s">
        <v>19</v>
      </c>
      <c r="K446" t="s">
        <v>54</v>
      </c>
      <c r="L446" t="s">
        <v>55</v>
      </c>
      <c r="M446" t="s">
        <v>29</v>
      </c>
      <c r="N446">
        <v>4</v>
      </c>
      <c r="O446" t="str">
        <f t="shared" si="6"/>
        <v>Extended</v>
      </c>
    </row>
    <row r="447" spans="1:15" x14ac:dyDescent="0.3">
      <c r="A447" t="s">
        <v>942</v>
      </c>
      <c r="B447" t="s">
        <v>943</v>
      </c>
      <c r="C447">
        <v>82</v>
      </c>
      <c r="D447" t="s">
        <v>25</v>
      </c>
      <c r="E447" s="1">
        <v>45503</v>
      </c>
      <c r="F447" s="1">
        <v>45510</v>
      </c>
      <c r="G447" t="s">
        <v>94</v>
      </c>
      <c r="H447" t="s">
        <v>18</v>
      </c>
      <c r="I447">
        <v>3709</v>
      </c>
      <c r="J447" t="s">
        <v>19</v>
      </c>
      <c r="K447" t="s">
        <v>35</v>
      </c>
      <c r="L447" t="s">
        <v>36</v>
      </c>
      <c r="M447" t="s">
        <v>50</v>
      </c>
      <c r="N447">
        <v>7</v>
      </c>
      <c r="O447" t="str">
        <f t="shared" si="6"/>
        <v>Extended</v>
      </c>
    </row>
    <row r="448" spans="1:15" x14ac:dyDescent="0.3">
      <c r="A448" t="s">
        <v>944</v>
      </c>
      <c r="B448" t="s">
        <v>945</v>
      </c>
      <c r="C448">
        <v>48</v>
      </c>
      <c r="D448" t="s">
        <v>16</v>
      </c>
      <c r="E448" s="1">
        <v>45640</v>
      </c>
      <c r="F448" s="1">
        <v>45642</v>
      </c>
      <c r="G448" t="s">
        <v>94</v>
      </c>
      <c r="H448" t="s">
        <v>53</v>
      </c>
      <c r="I448">
        <v>7322</v>
      </c>
      <c r="J448" t="s">
        <v>19</v>
      </c>
      <c r="K448" t="s">
        <v>40</v>
      </c>
      <c r="L448" t="s">
        <v>45</v>
      </c>
      <c r="M448" t="s">
        <v>22</v>
      </c>
      <c r="N448">
        <v>2</v>
      </c>
      <c r="O448" t="str">
        <f t="shared" si="6"/>
        <v>Normal</v>
      </c>
    </row>
    <row r="449" spans="1:15" x14ac:dyDescent="0.3">
      <c r="A449" t="s">
        <v>946</v>
      </c>
      <c r="B449" t="s">
        <v>947</v>
      </c>
      <c r="C449">
        <v>30</v>
      </c>
      <c r="D449" t="s">
        <v>16</v>
      </c>
      <c r="E449" s="1">
        <v>45652</v>
      </c>
      <c r="F449" s="1">
        <v>45658</v>
      </c>
      <c r="G449" t="s">
        <v>32</v>
      </c>
      <c r="H449" t="s">
        <v>53</v>
      </c>
      <c r="I449">
        <v>4866</v>
      </c>
      <c r="J449" t="s">
        <v>34</v>
      </c>
      <c r="K449" t="s">
        <v>35</v>
      </c>
      <c r="L449" t="s">
        <v>55</v>
      </c>
      <c r="M449" t="s">
        <v>22</v>
      </c>
      <c r="N449">
        <v>6</v>
      </c>
      <c r="O449" t="str">
        <f t="shared" si="6"/>
        <v>Extended</v>
      </c>
    </row>
    <row r="450" spans="1:15" x14ac:dyDescent="0.3">
      <c r="A450" t="s">
        <v>948</v>
      </c>
      <c r="B450" t="s">
        <v>949</v>
      </c>
      <c r="C450">
        <v>33</v>
      </c>
      <c r="D450" t="s">
        <v>25</v>
      </c>
      <c r="E450" s="1">
        <v>45507</v>
      </c>
      <c r="F450" s="1">
        <v>45513</v>
      </c>
      <c r="G450" t="s">
        <v>32</v>
      </c>
      <c r="H450" t="s">
        <v>89</v>
      </c>
      <c r="I450">
        <v>5326</v>
      </c>
      <c r="J450" t="s">
        <v>34</v>
      </c>
      <c r="K450" t="s">
        <v>40</v>
      </c>
      <c r="L450" t="s">
        <v>59</v>
      </c>
      <c r="M450" t="s">
        <v>29</v>
      </c>
      <c r="N450">
        <v>6</v>
      </c>
      <c r="O450" t="str">
        <f t="shared" si="6"/>
        <v>Extended</v>
      </c>
    </row>
    <row r="451" spans="1:15" x14ac:dyDescent="0.3">
      <c r="A451" t="s">
        <v>950</v>
      </c>
      <c r="B451" t="s">
        <v>951</v>
      </c>
      <c r="C451">
        <v>25</v>
      </c>
      <c r="D451" t="s">
        <v>16</v>
      </c>
      <c r="E451" s="1">
        <v>45678</v>
      </c>
      <c r="F451" s="1">
        <v>45681</v>
      </c>
      <c r="G451" t="s">
        <v>43</v>
      </c>
      <c r="H451" t="s">
        <v>63</v>
      </c>
      <c r="I451">
        <v>3632</v>
      </c>
      <c r="J451" t="s">
        <v>34</v>
      </c>
      <c r="K451" t="s">
        <v>20</v>
      </c>
      <c r="L451" t="s">
        <v>59</v>
      </c>
      <c r="M451" t="s">
        <v>29</v>
      </c>
      <c r="N451">
        <v>3</v>
      </c>
      <c r="O451" t="str">
        <f t="shared" ref="O451:O514" si="7">IF(N451&gt;3,"Extended","Normal")</f>
        <v>Normal</v>
      </c>
    </row>
    <row r="452" spans="1:15" x14ac:dyDescent="0.3">
      <c r="A452" t="s">
        <v>952</v>
      </c>
      <c r="B452" t="s">
        <v>953</v>
      </c>
      <c r="C452">
        <v>73</v>
      </c>
      <c r="D452" t="s">
        <v>16</v>
      </c>
      <c r="E452" s="1">
        <v>45794</v>
      </c>
      <c r="F452" s="1">
        <v>45799</v>
      </c>
      <c r="G452" t="s">
        <v>62</v>
      </c>
      <c r="H452" t="s">
        <v>18</v>
      </c>
      <c r="I452">
        <v>4084</v>
      </c>
      <c r="J452" t="s">
        <v>34</v>
      </c>
      <c r="K452" t="s">
        <v>40</v>
      </c>
      <c r="L452" t="s">
        <v>59</v>
      </c>
      <c r="M452" t="s">
        <v>29</v>
      </c>
      <c r="N452">
        <v>5</v>
      </c>
      <c r="O452" t="str">
        <f t="shared" si="7"/>
        <v>Extended</v>
      </c>
    </row>
    <row r="453" spans="1:15" x14ac:dyDescent="0.3">
      <c r="A453" t="s">
        <v>954</v>
      </c>
      <c r="B453" t="s">
        <v>955</v>
      </c>
      <c r="C453">
        <v>62</v>
      </c>
      <c r="D453" t="s">
        <v>16</v>
      </c>
      <c r="E453" s="1">
        <v>45517</v>
      </c>
      <c r="F453" s="1">
        <v>45519</v>
      </c>
      <c r="G453" t="s">
        <v>62</v>
      </c>
      <c r="H453" t="s">
        <v>58</v>
      </c>
      <c r="I453">
        <v>2465</v>
      </c>
      <c r="J453" t="s">
        <v>19</v>
      </c>
      <c r="K453" t="s">
        <v>44</v>
      </c>
      <c r="L453" t="s">
        <v>59</v>
      </c>
      <c r="M453" t="s">
        <v>29</v>
      </c>
      <c r="N453">
        <v>2</v>
      </c>
      <c r="O453" t="str">
        <f t="shared" si="7"/>
        <v>Normal</v>
      </c>
    </row>
    <row r="454" spans="1:15" x14ac:dyDescent="0.3">
      <c r="A454" t="s">
        <v>956</v>
      </c>
      <c r="B454" t="s">
        <v>957</v>
      </c>
      <c r="C454">
        <v>43</v>
      </c>
      <c r="D454" t="s">
        <v>16</v>
      </c>
      <c r="E454" s="1">
        <v>45583</v>
      </c>
      <c r="F454" s="1">
        <v>45586</v>
      </c>
      <c r="G454" t="s">
        <v>26</v>
      </c>
      <c r="H454" t="s">
        <v>89</v>
      </c>
      <c r="I454">
        <v>5498</v>
      </c>
      <c r="J454" t="s">
        <v>34</v>
      </c>
      <c r="K454" t="s">
        <v>40</v>
      </c>
      <c r="L454" t="s">
        <v>21</v>
      </c>
      <c r="M454" t="s">
        <v>22</v>
      </c>
      <c r="N454">
        <v>3</v>
      </c>
      <c r="O454" t="str">
        <f t="shared" si="7"/>
        <v>Normal</v>
      </c>
    </row>
    <row r="455" spans="1:15" x14ac:dyDescent="0.3">
      <c r="A455" t="s">
        <v>958</v>
      </c>
      <c r="B455" t="s">
        <v>959</v>
      </c>
      <c r="C455">
        <v>82</v>
      </c>
      <c r="D455" t="s">
        <v>25</v>
      </c>
      <c r="E455" s="1">
        <v>45760</v>
      </c>
      <c r="F455" s="1">
        <v>45773</v>
      </c>
      <c r="G455" t="s">
        <v>17</v>
      </c>
      <c r="H455" t="s">
        <v>73</v>
      </c>
      <c r="I455">
        <v>4761</v>
      </c>
      <c r="J455" t="s">
        <v>34</v>
      </c>
      <c r="K455" t="s">
        <v>49</v>
      </c>
      <c r="L455" t="s">
        <v>78</v>
      </c>
      <c r="M455" t="s">
        <v>50</v>
      </c>
      <c r="N455">
        <v>13</v>
      </c>
      <c r="O455" t="str">
        <f t="shared" si="7"/>
        <v>Extended</v>
      </c>
    </row>
    <row r="456" spans="1:15" x14ac:dyDescent="0.3">
      <c r="A456" t="s">
        <v>960</v>
      </c>
      <c r="B456" t="s">
        <v>961</v>
      </c>
      <c r="C456">
        <v>59</v>
      </c>
      <c r="D456" t="s">
        <v>25</v>
      </c>
      <c r="E456" s="1">
        <v>45795</v>
      </c>
      <c r="F456" s="1">
        <v>45808</v>
      </c>
      <c r="G456" t="s">
        <v>17</v>
      </c>
      <c r="H456" t="s">
        <v>73</v>
      </c>
      <c r="I456">
        <v>5245</v>
      </c>
      <c r="J456" t="s">
        <v>19</v>
      </c>
      <c r="K456" t="s">
        <v>40</v>
      </c>
      <c r="L456" t="s">
        <v>78</v>
      </c>
      <c r="M456" t="s">
        <v>29</v>
      </c>
      <c r="N456">
        <v>13</v>
      </c>
      <c r="O456" t="str">
        <f t="shared" si="7"/>
        <v>Extended</v>
      </c>
    </row>
    <row r="457" spans="1:15" x14ac:dyDescent="0.3">
      <c r="A457" t="s">
        <v>962</v>
      </c>
      <c r="B457" t="s">
        <v>963</v>
      </c>
      <c r="C457">
        <v>46</v>
      </c>
      <c r="D457" t="s">
        <v>25</v>
      </c>
      <c r="E457" s="1">
        <v>45699</v>
      </c>
      <c r="F457" s="1">
        <v>45702</v>
      </c>
      <c r="G457" t="s">
        <v>43</v>
      </c>
      <c r="H457" t="s">
        <v>53</v>
      </c>
      <c r="I457">
        <v>2860</v>
      </c>
      <c r="J457" t="s">
        <v>34</v>
      </c>
      <c r="K457" t="s">
        <v>44</v>
      </c>
      <c r="L457" t="s">
        <v>21</v>
      </c>
      <c r="M457" t="s">
        <v>22</v>
      </c>
      <c r="N457">
        <v>3</v>
      </c>
      <c r="O457" t="str">
        <f t="shared" si="7"/>
        <v>Normal</v>
      </c>
    </row>
    <row r="458" spans="1:15" x14ac:dyDescent="0.3">
      <c r="A458" t="s">
        <v>964</v>
      </c>
      <c r="B458" t="s">
        <v>965</v>
      </c>
      <c r="C458">
        <v>24</v>
      </c>
      <c r="D458" t="s">
        <v>16</v>
      </c>
      <c r="E458" s="1">
        <v>45543</v>
      </c>
      <c r="F458" s="1">
        <v>45547</v>
      </c>
      <c r="G458" t="s">
        <v>66</v>
      </c>
      <c r="H458" t="s">
        <v>53</v>
      </c>
      <c r="I458">
        <v>1865</v>
      </c>
      <c r="J458" t="s">
        <v>19</v>
      </c>
      <c r="K458" t="s">
        <v>35</v>
      </c>
      <c r="L458" t="s">
        <v>45</v>
      </c>
      <c r="M458" t="s">
        <v>22</v>
      </c>
      <c r="N458">
        <v>4</v>
      </c>
      <c r="O458" t="str">
        <f t="shared" si="7"/>
        <v>Extended</v>
      </c>
    </row>
    <row r="459" spans="1:15" x14ac:dyDescent="0.3">
      <c r="A459" t="s">
        <v>966</v>
      </c>
      <c r="B459" t="s">
        <v>967</v>
      </c>
      <c r="C459">
        <v>29</v>
      </c>
      <c r="D459" t="s">
        <v>25</v>
      </c>
      <c r="E459" s="1">
        <v>45639</v>
      </c>
      <c r="F459" s="1">
        <v>45646</v>
      </c>
      <c r="G459" t="s">
        <v>66</v>
      </c>
      <c r="H459" t="s">
        <v>63</v>
      </c>
      <c r="I459">
        <v>9038</v>
      </c>
      <c r="J459" t="s">
        <v>19</v>
      </c>
      <c r="K459" t="s">
        <v>20</v>
      </c>
      <c r="L459" t="s">
        <v>36</v>
      </c>
      <c r="M459" t="s">
        <v>22</v>
      </c>
      <c r="N459">
        <v>7</v>
      </c>
      <c r="O459" t="str">
        <f t="shared" si="7"/>
        <v>Extended</v>
      </c>
    </row>
    <row r="460" spans="1:15" x14ac:dyDescent="0.3">
      <c r="A460" t="s">
        <v>968</v>
      </c>
      <c r="B460" t="s">
        <v>969</v>
      </c>
      <c r="C460">
        <v>3</v>
      </c>
      <c r="D460" t="s">
        <v>25</v>
      </c>
      <c r="E460" s="1">
        <v>45627</v>
      </c>
      <c r="F460" s="1">
        <v>45636</v>
      </c>
      <c r="G460" t="s">
        <v>94</v>
      </c>
      <c r="H460" t="s">
        <v>18</v>
      </c>
      <c r="I460">
        <v>7328</v>
      </c>
      <c r="J460" t="s">
        <v>34</v>
      </c>
      <c r="K460" t="s">
        <v>49</v>
      </c>
      <c r="L460" t="s">
        <v>28</v>
      </c>
      <c r="M460" t="s">
        <v>50</v>
      </c>
      <c r="N460">
        <v>9</v>
      </c>
      <c r="O460" t="str">
        <f t="shared" si="7"/>
        <v>Extended</v>
      </c>
    </row>
    <row r="461" spans="1:15" x14ac:dyDescent="0.3">
      <c r="A461" t="s">
        <v>970</v>
      </c>
      <c r="B461" t="s">
        <v>971</v>
      </c>
      <c r="C461">
        <v>40</v>
      </c>
      <c r="D461" t="s">
        <v>16</v>
      </c>
      <c r="E461" s="1">
        <v>45722</v>
      </c>
      <c r="F461" s="1">
        <v>45734</v>
      </c>
      <c r="G461" t="s">
        <v>66</v>
      </c>
      <c r="H461" t="s">
        <v>27</v>
      </c>
      <c r="I461">
        <v>6698</v>
      </c>
      <c r="J461" t="s">
        <v>19</v>
      </c>
      <c r="K461" t="s">
        <v>44</v>
      </c>
      <c r="L461" t="s">
        <v>78</v>
      </c>
      <c r="M461" t="s">
        <v>22</v>
      </c>
      <c r="N461">
        <v>12</v>
      </c>
      <c r="O461" t="str">
        <f t="shared" si="7"/>
        <v>Extended</v>
      </c>
    </row>
    <row r="462" spans="1:15" x14ac:dyDescent="0.3">
      <c r="A462" t="s">
        <v>972</v>
      </c>
      <c r="B462" t="s">
        <v>973</v>
      </c>
      <c r="C462">
        <v>87</v>
      </c>
      <c r="D462" t="s">
        <v>16</v>
      </c>
      <c r="E462" s="1">
        <v>45461</v>
      </c>
      <c r="F462" s="1">
        <v>45466</v>
      </c>
      <c r="G462" t="s">
        <v>66</v>
      </c>
      <c r="H462" t="s">
        <v>53</v>
      </c>
      <c r="I462">
        <v>8645</v>
      </c>
      <c r="J462" t="s">
        <v>34</v>
      </c>
      <c r="K462" t="s">
        <v>20</v>
      </c>
      <c r="L462" t="s">
        <v>36</v>
      </c>
      <c r="M462" t="s">
        <v>29</v>
      </c>
      <c r="N462">
        <v>5</v>
      </c>
      <c r="O462" t="str">
        <f t="shared" si="7"/>
        <v>Extended</v>
      </c>
    </row>
    <row r="463" spans="1:15" x14ac:dyDescent="0.3">
      <c r="A463" t="s">
        <v>974</v>
      </c>
      <c r="B463" t="s">
        <v>975</v>
      </c>
      <c r="C463">
        <v>10</v>
      </c>
      <c r="D463" t="s">
        <v>16</v>
      </c>
      <c r="E463" s="1">
        <v>45698</v>
      </c>
      <c r="F463" s="1">
        <v>45701</v>
      </c>
      <c r="G463" t="s">
        <v>26</v>
      </c>
      <c r="H463" t="s">
        <v>27</v>
      </c>
      <c r="I463">
        <v>6287</v>
      </c>
      <c r="J463" t="s">
        <v>34</v>
      </c>
      <c r="K463" t="s">
        <v>44</v>
      </c>
      <c r="L463" t="s">
        <v>36</v>
      </c>
      <c r="M463" t="s">
        <v>22</v>
      </c>
      <c r="N463">
        <v>3</v>
      </c>
      <c r="O463" t="str">
        <f t="shared" si="7"/>
        <v>Normal</v>
      </c>
    </row>
    <row r="464" spans="1:15" x14ac:dyDescent="0.3">
      <c r="A464" t="s">
        <v>976</v>
      </c>
      <c r="B464" t="s">
        <v>977</v>
      </c>
      <c r="C464">
        <v>77</v>
      </c>
      <c r="D464" t="s">
        <v>16</v>
      </c>
      <c r="E464" s="1">
        <v>45755</v>
      </c>
      <c r="F464" s="1">
        <v>45761</v>
      </c>
      <c r="G464" t="s">
        <v>66</v>
      </c>
      <c r="H464" t="s">
        <v>89</v>
      </c>
      <c r="I464">
        <v>9088</v>
      </c>
      <c r="J464" t="s">
        <v>19</v>
      </c>
      <c r="K464" t="s">
        <v>35</v>
      </c>
      <c r="L464" t="s">
        <v>78</v>
      </c>
      <c r="M464" t="s">
        <v>50</v>
      </c>
      <c r="N464">
        <v>6</v>
      </c>
      <c r="O464" t="str">
        <f t="shared" si="7"/>
        <v>Extended</v>
      </c>
    </row>
    <row r="465" spans="1:15" x14ac:dyDescent="0.3">
      <c r="A465" t="s">
        <v>978</v>
      </c>
      <c r="B465" t="s">
        <v>979</v>
      </c>
      <c r="C465">
        <v>43</v>
      </c>
      <c r="D465" t="s">
        <v>16</v>
      </c>
      <c r="E465" s="1">
        <v>45681</v>
      </c>
      <c r="F465" s="1">
        <v>45688</v>
      </c>
      <c r="G465" t="s">
        <v>17</v>
      </c>
      <c r="H465" t="s">
        <v>53</v>
      </c>
      <c r="I465">
        <v>8981</v>
      </c>
      <c r="J465" t="s">
        <v>19</v>
      </c>
      <c r="K465" t="s">
        <v>49</v>
      </c>
      <c r="L465" t="s">
        <v>78</v>
      </c>
      <c r="M465" t="s">
        <v>22</v>
      </c>
      <c r="N465">
        <v>7</v>
      </c>
      <c r="O465" t="str">
        <f t="shared" si="7"/>
        <v>Extended</v>
      </c>
    </row>
    <row r="466" spans="1:15" x14ac:dyDescent="0.3">
      <c r="A466" t="s">
        <v>980</v>
      </c>
      <c r="B466" t="s">
        <v>981</v>
      </c>
      <c r="C466">
        <v>68</v>
      </c>
      <c r="D466" t="s">
        <v>16</v>
      </c>
      <c r="E466" s="1">
        <v>45671</v>
      </c>
      <c r="F466" s="1">
        <v>45679</v>
      </c>
      <c r="G466" t="s">
        <v>94</v>
      </c>
      <c r="H466" t="s">
        <v>73</v>
      </c>
      <c r="I466">
        <v>4520</v>
      </c>
      <c r="J466" t="s">
        <v>34</v>
      </c>
      <c r="K466" t="s">
        <v>35</v>
      </c>
      <c r="L466" t="s">
        <v>36</v>
      </c>
      <c r="M466" t="s">
        <v>50</v>
      </c>
      <c r="N466">
        <v>8</v>
      </c>
      <c r="O466" t="str">
        <f t="shared" si="7"/>
        <v>Extended</v>
      </c>
    </row>
    <row r="467" spans="1:15" x14ac:dyDescent="0.3">
      <c r="A467" t="s">
        <v>982</v>
      </c>
      <c r="B467" t="s">
        <v>983</v>
      </c>
      <c r="C467">
        <v>9</v>
      </c>
      <c r="D467" t="s">
        <v>25</v>
      </c>
      <c r="E467" s="1">
        <v>45506</v>
      </c>
      <c r="F467" s="1">
        <v>45516</v>
      </c>
      <c r="G467" t="s">
        <v>26</v>
      </c>
      <c r="H467" t="s">
        <v>39</v>
      </c>
      <c r="I467">
        <v>6120</v>
      </c>
      <c r="J467" t="s">
        <v>19</v>
      </c>
      <c r="K467" t="s">
        <v>20</v>
      </c>
      <c r="L467" t="s">
        <v>59</v>
      </c>
      <c r="M467" t="s">
        <v>22</v>
      </c>
      <c r="N467">
        <v>10</v>
      </c>
      <c r="O467" t="str">
        <f t="shared" si="7"/>
        <v>Extended</v>
      </c>
    </row>
    <row r="468" spans="1:15" x14ac:dyDescent="0.3">
      <c r="A468" t="s">
        <v>984</v>
      </c>
      <c r="B468" t="s">
        <v>985</v>
      </c>
      <c r="C468">
        <v>11</v>
      </c>
      <c r="D468" t="s">
        <v>25</v>
      </c>
      <c r="E468" s="1">
        <v>45592</v>
      </c>
      <c r="F468" s="1">
        <v>45595</v>
      </c>
      <c r="G468" t="s">
        <v>32</v>
      </c>
      <c r="H468" t="s">
        <v>73</v>
      </c>
      <c r="I468">
        <v>4558</v>
      </c>
      <c r="J468" t="s">
        <v>34</v>
      </c>
      <c r="K468" t="s">
        <v>40</v>
      </c>
      <c r="L468" t="s">
        <v>28</v>
      </c>
      <c r="M468" t="s">
        <v>29</v>
      </c>
      <c r="N468">
        <v>3</v>
      </c>
      <c r="O468" t="str">
        <f t="shared" si="7"/>
        <v>Normal</v>
      </c>
    </row>
    <row r="469" spans="1:15" x14ac:dyDescent="0.3">
      <c r="A469" t="s">
        <v>986</v>
      </c>
      <c r="B469" t="s">
        <v>987</v>
      </c>
      <c r="C469">
        <v>22</v>
      </c>
      <c r="D469" t="s">
        <v>16</v>
      </c>
      <c r="E469" s="1">
        <v>45760</v>
      </c>
      <c r="F469" s="1">
        <v>45771</v>
      </c>
      <c r="G469" t="s">
        <v>43</v>
      </c>
      <c r="H469" t="s">
        <v>53</v>
      </c>
      <c r="I469">
        <v>4084</v>
      </c>
      <c r="J469" t="s">
        <v>34</v>
      </c>
      <c r="K469" t="s">
        <v>133</v>
      </c>
      <c r="L469" t="s">
        <v>59</v>
      </c>
      <c r="M469" t="s">
        <v>22</v>
      </c>
      <c r="N469">
        <v>11</v>
      </c>
      <c r="O469" t="str">
        <f t="shared" si="7"/>
        <v>Extended</v>
      </c>
    </row>
    <row r="470" spans="1:15" x14ac:dyDescent="0.3">
      <c r="A470" t="s">
        <v>988</v>
      </c>
      <c r="B470" t="s">
        <v>989</v>
      </c>
      <c r="C470">
        <v>56</v>
      </c>
      <c r="D470" t="s">
        <v>16</v>
      </c>
      <c r="E470" s="1">
        <v>45665</v>
      </c>
      <c r="F470" s="1">
        <v>45669</v>
      </c>
      <c r="G470" t="s">
        <v>62</v>
      </c>
      <c r="H470" t="s">
        <v>89</v>
      </c>
      <c r="I470">
        <v>6104</v>
      </c>
      <c r="J470" t="s">
        <v>19</v>
      </c>
      <c r="K470" t="s">
        <v>40</v>
      </c>
      <c r="L470" t="s">
        <v>45</v>
      </c>
      <c r="M470" t="s">
        <v>22</v>
      </c>
      <c r="N470">
        <v>4</v>
      </c>
      <c r="O470" t="str">
        <f t="shared" si="7"/>
        <v>Extended</v>
      </c>
    </row>
    <row r="471" spans="1:15" x14ac:dyDescent="0.3">
      <c r="A471" t="s">
        <v>990</v>
      </c>
      <c r="B471" t="s">
        <v>991</v>
      </c>
      <c r="C471">
        <v>75</v>
      </c>
      <c r="D471" t="s">
        <v>16</v>
      </c>
      <c r="E471" s="1">
        <v>45586</v>
      </c>
      <c r="F471" s="1">
        <v>45595</v>
      </c>
      <c r="G471" t="s">
        <v>32</v>
      </c>
      <c r="H471" t="s">
        <v>63</v>
      </c>
      <c r="I471">
        <v>9731</v>
      </c>
      <c r="J471" t="s">
        <v>19</v>
      </c>
      <c r="K471" t="s">
        <v>49</v>
      </c>
      <c r="L471" t="s">
        <v>78</v>
      </c>
      <c r="M471" t="s">
        <v>29</v>
      </c>
      <c r="N471">
        <v>9</v>
      </c>
      <c r="O471" t="str">
        <f t="shared" si="7"/>
        <v>Extended</v>
      </c>
    </row>
    <row r="472" spans="1:15" x14ac:dyDescent="0.3">
      <c r="A472" t="s">
        <v>992</v>
      </c>
      <c r="B472" t="s">
        <v>993</v>
      </c>
      <c r="C472">
        <v>68</v>
      </c>
      <c r="D472" t="s">
        <v>25</v>
      </c>
      <c r="E472" s="1">
        <v>45464</v>
      </c>
      <c r="F472" s="1">
        <v>45467</v>
      </c>
      <c r="G472" t="s">
        <v>32</v>
      </c>
      <c r="H472" t="s">
        <v>39</v>
      </c>
      <c r="I472">
        <v>3162</v>
      </c>
      <c r="J472" t="s">
        <v>34</v>
      </c>
      <c r="K472" t="s">
        <v>44</v>
      </c>
      <c r="L472" t="s">
        <v>55</v>
      </c>
      <c r="M472" t="s">
        <v>22</v>
      </c>
      <c r="N472">
        <v>3</v>
      </c>
      <c r="O472" t="str">
        <f t="shared" si="7"/>
        <v>Normal</v>
      </c>
    </row>
    <row r="473" spans="1:15" x14ac:dyDescent="0.3">
      <c r="A473" t="s">
        <v>994</v>
      </c>
      <c r="B473" t="s">
        <v>995</v>
      </c>
      <c r="C473">
        <v>5</v>
      </c>
      <c r="D473" t="s">
        <v>16</v>
      </c>
      <c r="E473" s="1">
        <v>45543</v>
      </c>
      <c r="F473" s="1">
        <v>45552</v>
      </c>
      <c r="G473" t="s">
        <v>26</v>
      </c>
      <c r="H473" t="s">
        <v>48</v>
      </c>
      <c r="I473">
        <v>9302</v>
      </c>
      <c r="J473" t="s">
        <v>19</v>
      </c>
      <c r="K473" t="s">
        <v>44</v>
      </c>
      <c r="L473" t="s">
        <v>59</v>
      </c>
      <c r="M473" t="s">
        <v>50</v>
      </c>
      <c r="N473">
        <v>9</v>
      </c>
      <c r="O473" t="str">
        <f t="shared" si="7"/>
        <v>Extended</v>
      </c>
    </row>
    <row r="474" spans="1:15" x14ac:dyDescent="0.3">
      <c r="A474" t="s">
        <v>996</v>
      </c>
      <c r="B474" t="s">
        <v>997</v>
      </c>
      <c r="C474">
        <v>78</v>
      </c>
      <c r="D474" t="s">
        <v>16</v>
      </c>
      <c r="E474" s="1">
        <v>45707</v>
      </c>
      <c r="F474" s="1">
        <v>45719</v>
      </c>
      <c r="G474" t="s">
        <v>94</v>
      </c>
      <c r="H474" t="s">
        <v>39</v>
      </c>
      <c r="I474">
        <v>6059</v>
      </c>
      <c r="J474" t="s">
        <v>34</v>
      </c>
      <c r="K474" t="s">
        <v>133</v>
      </c>
      <c r="L474" t="s">
        <v>21</v>
      </c>
      <c r="M474" t="s">
        <v>29</v>
      </c>
      <c r="N474">
        <v>12</v>
      </c>
      <c r="O474" t="str">
        <f t="shared" si="7"/>
        <v>Extended</v>
      </c>
    </row>
    <row r="475" spans="1:15" x14ac:dyDescent="0.3">
      <c r="A475" t="s">
        <v>998</v>
      </c>
      <c r="B475" t="s">
        <v>999</v>
      </c>
      <c r="C475">
        <v>17</v>
      </c>
      <c r="D475" t="s">
        <v>25</v>
      </c>
      <c r="E475" s="1">
        <v>45724</v>
      </c>
      <c r="F475" s="1">
        <v>45730</v>
      </c>
      <c r="G475" t="s">
        <v>32</v>
      </c>
      <c r="H475" t="s">
        <v>73</v>
      </c>
      <c r="I475">
        <v>9454</v>
      </c>
      <c r="J475" t="s">
        <v>19</v>
      </c>
      <c r="K475" t="s">
        <v>35</v>
      </c>
      <c r="L475" t="s">
        <v>28</v>
      </c>
      <c r="M475" t="s">
        <v>50</v>
      </c>
      <c r="N475">
        <v>6</v>
      </c>
      <c r="O475" t="str">
        <f t="shared" si="7"/>
        <v>Extended</v>
      </c>
    </row>
    <row r="476" spans="1:15" x14ac:dyDescent="0.3">
      <c r="A476" t="s">
        <v>1000</v>
      </c>
      <c r="B476" t="s">
        <v>1001</v>
      </c>
      <c r="C476">
        <v>72</v>
      </c>
      <c r="D476" t="s">
        <v>16</v>
      </c>
      <c r="E476" s="1">
        <v>45448</v>
      </c>
      <c r="F476" s="1">
        <v>45461</v>
      </c>
      <c r="G476" t="s">
        <v>62</v>
      </c>
      <c r="H476" t="s">
        <v>27</v>
      </c>
      <c r="I476">
        <v>2046</v>
      </c>
      <c r="J476" t="s">
        <v>19</v>
      </c>
      <c r="K476" t="s">
        <v>54</v>
      </c>
      <c r="L476" t="s">
        <v>36</v>
      </c>
      <c r="M476" t="s">
        <v>22</v>
      </c>
      <c r="N476">
        <v>13</v>
      </c>
      <c r="O476" t="str">
        <f t="shared" si="7"/>
        <v>Extended</v>
      </c>
    </row>
    <row r="477" spans="1:15" x14ac:dyDescent="0.3">
      <c r="A477" t="s">
        <v>1002</v>
      </c>
      <c r="B477" t="s">
        <v>1003</v>
      </c>
      <c r="C477">
        <v>34</v>
      </c>
      <c r="D477" t="s">
        <v>25</v>
      </c>
      <c r="E477" s="1">
        <v>45603</v>
      </c>
      <c r="F477" s="1">
        <v>45613</v>
      </c>
      <c r="G477" t="s">
        <v>94</v>
      </c>
      <c r="H477" t="s">
        <v>73</v>
      </c>
      <c r="I477">
        <v>1843</v>
      </c>
      <c r="J477" t="s">
        <v>34</v>
      </c>
      <c r="K477" t="s">
        <v>40</v>
      </c>
      <c r="L477" t="s">
        <v>28</v>
      </c>
      <c r="M477" t="s">
        <v>50</v>
      </c>
      <c r="N477">
        <v>10</v>
      </c>
      <c r="O477" t="str">
        <f t="shared" si="7"/>
        <v>Extended</v>
      </c>
    </row>
    <row r="478" spans="1:15" x14ac:dyDescent="0.3">
      <c r="A478" t="s">
        <v>1004</v>
      </c>
      <c r="B478" t="s">
        <v>1005</v>
      </c>
      <c r="C478">
        <v>22</v>
      </c>
      <c r="D478" t="s">
        <v>25</v>
      </c>
      <c r="E478" s="1">
        <v>45652</v>
      </c>
      <c r="F478" s="1">
        <v>45656</v>
      </c>
      <c r="G478" t="s">
        <v>26</v>
      </c>
      <c r="H478" t="s">
        <v>33</v>
      </c>
      <c r="I478">
        <v>2596</v>
      </c>
      <c r="J478" t="s">
        <v>19</v>
      </c>
      <c r="K478" t="s">
        <v>49</v>
      </c>
      <c r="L478" t="s">
        <v>21</v>
      </c>
      <c r="M478" t="s">
        <v>29</v>
      </c>
      <c r="N478">
        <v>4</v>
      </c>
      <c r="O478" t="str">
        <f t="shared" si="7"/>
        <v>Extended</v>
      </c>
    </row>
    <row r="479" spans="1:15" x14ac:dyDescent="0.3">
      <c r="A479" t="s">
        <v>1006</v>
      </c>
      <c r="B479" t="s">
        <v>1007</v>
      </c>
      <c r="C479">
        <v>13</v>
      </c>
      <c r="D479" t="s">
        <v>16</v>
      </c>
      <c r="E479" s="1">
        <v>45797</v>
      </c>
      <c r="F479" s="1">
        <v>45801</v>
      </c>
      <c r="G479" t="s">
        <v>26</v>
      </c>
      <c r="H479" t="s">
        <v>58</v>
      </c>
      <c r="I479">
        <v>1374</v>
      </c>
      <c r="J479" t="s">
        <v>19</v>
      </c>
      <c r="K479" t="s">
        <v>54</v>
      </c>
      <c r="L479" t="s">
        <v>36</v>
      </c>
      <c r="M479" t="s">
        <v>22</v>
      </c>
      <c r="N479">
        <v>4</v>
      </c>
      <c r="O479" t="str">
        <f t="shared" si="7"/>
        <v>Extended</v>
      </c>
    </row>
    <row r="480" spans="1:15" x14ac:dyDescent="0.3">
      <c r="A480" t="s">
        <v>1008</v>
      </c>
      <c r="B480" t="s">
        <v>1009</v>
      </c>
      <c r="C480">
        <v>84</v>
      </c>
      <c r="D480" t="s">
        <v>16</v>
      </c>
      <c r="E480" s="1">
        <v>45443</v>
      </c>
      <c r="F480" s="1">
        <v>45451</v>
      </c>
      <c r="G480" t="s">
        <v>32</v>
      </c>
      <c r="H480" t="s">
        <v>63</v>
      </c>
      <c r="I480">
        <v>8677</v>
      </c>
      <c r="J480" t="s">
        <v>19</v>
      </c>
      <c r="K480" t="s">
        <v>20</v>
      </c>
      <c r="L480" t="s">
        <v>78</v>
      </c>
      <c r="M480" t="s">
        <v>22</v>
      </c>
      <c r="N480">
        <v>8</v>
      </c>
      <c r="O480" t="str">
        <f t="shared" si="7"/>
        <v>Extended</v>
      </c>
    </row>
    <row r="481" spans="1:15" x14ac:dyDescent="0.3">
      <c r="A481" t="s">
        <v>1010</v>
      </c>
      <c r="B481" t="s">
        <v>1011</v>
      </c>
      <c r="C481">
        <v>87</v>
      </c>
      <c r="D481" t="s">
        <v>25</v>
      </c>
      <c r="E481" s="1">
        <v>45568</v>
      </c>
      <c r="F481" s="1">
        <v>45569</v>
      </c>
      <c r="G481" t="s">
        <v>43</v>
      </c>
      <c r="H481" t="s">
        <v>27</v>
      </c>
      <c r="I481">
        <v>4465</v>
      </c>
      <c r="J481" t="s">
        <v>34</v>
      </c>
      <c r="K481" t="s">
        <v>20</v>
      </c>
      <c r="L481" t="s">
        <v>78</v>
      </c>
      <c r="M481" t="s">
        <v>29</v>
      </c>
      <c r="N481">
        <v>1</v>
      </c>
      <c r="O481" t="str">
        <f t="shared" si="7"/>
        <v>Normal</v>
      </c>
    </row>
    <row r="482" spans="1:15" x14ac:dyDescent="0.3">
      <c r="A482" t="s">
        <v>1012</v>
      </c>
      <c r="B482" t="s">
        <v>1013</v>
      </c>
      <c r="C482">
        <v>14</v>
      </c>
      <c r="D482" t="s">
        <v>25</v>
      </c>
      <c r="E482" s="1">
        <v>45595</v>
      </c>
      <c r="F482" s="1">
        <v>45604</v>
      </c>
      <c r="G482" t="s">
        <v>94</v>
      </c>
      <c r="H482" t="s">
        <v>33</v>
      </c>
      <c r="I482">
        <v>6218</v>
      </c>
      <c r="J482" t="s">
        <v>19</v>
      </c>
      <c r="K482" t="s">
        <v>44</v>
      </c>
      <c r="L482" t="s">
        <v>78</v>
      </c>
      <c r="M482" t="s">
        <v>29</v>
      </c>
      <c r="N482">
        <v>9</v>
      </c>
      <c r="O482" t="str">
        <f t="shared" si="7"/>
        <v>Extended</v>
      </c>
    </row>
    <row r="483" spans="1:15" x14ac:dyDescent="0.3">
      <c r="A483" t="s">
        <v>1014</v>
      </c>
      <c r="B483" t="s">
        <v>1015</v>
      </c>
      <c r="C483">
        <v>80</v>
      </c>
      <c r="D483" t="s">
        <v>25</v>
      </c>
      <c r="E483" s="1">
        <v>45486</v>
      </c>
      <c r="F483" s="1">
        <v>45494</v>
      </c>
      <c r="G483" t="s">
        <v>62</v>
      </c>
      <c r="H483" t="s">
        <v>39</v>
      </c>
      <c r="I483">
        <v>7913</v>
      </c>
      <c r="J483" t="s">
        <v>19</v>
      </c>
      <c r="K483" t="s">
        <v>35</v>
      </c>
      <c r="L483" t="s">
        <v>28</v>
      </c>
      <c r="M483" t="s">
        <v>50</v>
      </c>
      <c r="N483">
        <v>8</v>
      </c>
      <c r="O483" t="str">
        <f t="shared" si="7"/>
        <v>Extended</v>
      </c>
    </row>
    <row r="484" spans="1:15" x14ac:dyDescent="0.3">
      <c r="A484" t="s">
        <v>1016</v>
      </c>
      <c r="B484" t="s">
        <v>1017</v>
      </c>
      <c r="C484">
        <v>71</v>
      </c>
      <c r="D484" t="s">
        <v>16</v>
      </c>
      <c r="E484" s="1">
        <v>45725</v>
      </c>
      <c r="F484" s="1">
        <v>45727</v>
      </c>
      <c r="G484" t="s">
        <v>43</v>
      </c>
      <c r="H484" t="s">
        <v>53</v>
      </c>
      <c r="I484">
        <v>2962</v>
      </c>
      <c r="J484" t="s">
        <v>19</v>
      </c>
      <c r="K484" t="s">
        <v>35</v>
      </c>
      <c r="L484" t="s">
        <v>21</v>
      </c>
      <c r="M484" t="s">
        <v>50</v>
      </c>
      <c r="N484">
        <v>2</v>
      </c>
      <c r="O484" t="str">
        <f t="shared" si="7"/>
        <v>Normal</v>
      </c>
    </row>
    <row r="485" spans="1:15" x14ac:dyDescent="0.3">
      <c r="A485" t="s">
        <v>1018</v>
      </c>
      <c r="B485" t="s">
        <v>1019</v>
      </c>
      <c r="C485">
        <v>67</v>
      </c>
      <c r="D485" t="s">
        <v>16</v>
      </c>
      <c r="E485" s="1">
        <v>45696</v>
      </c>
      <c r="F485" s="1">
        <v>45700</v>
      </c>
      <c r="G485" t="s">
        <v>17</v>
      </c>
      <c r="H485" t="s">
        <v>39</v>
      </c>
      <c r="I485">
        <v>9438</v>
      </c>
      <c r="J485" t="s">
        <v>19</v>
      </c>
      <c r="K485" t="s">
        <v>40</v>
      </c>
      <c r="L485" t="s">
        <v>21</v>
      </c>
      <c r="M485" t="s">
        <v>22</v>
      </c>
      <c r="N485">
        <v>4</v>
      </c>
      <c r="O485" t="str">
        <f t="shared" si="7"/>
        <v>Extended</v>
      </c>
    </row>
    <row r="486" spans="1:15" x14ac:dyDescent="0.3">
      <c r="A486" t="s">
        <v>1020</v>
      </c>
      <c r="B486" t="s">
        <v>1021</v>
      </c>
      <c r="C486">
        <v>56</v>
      </c>
      <c r="D486" t="s">
        <v>25</v>
      </c>
      <c r="E486" s="1">
        <v>45528</v>
      </c>
      <c r="F486" s="1">
        <v>45536</v>
      </c>
      <c r="G486" t="s">
        <v>17</v>
      </c>
      <c r="H486" t="s">
        <v>39</v>
      </c>
      <c r="I486">
        <v>8451</v>
      </c>
      <c r="J486" t="s">
        <v>19</v>
      </c>
      <c r="K486" t="s">
        <v>40</v>
      </c>
      <c r="L486" t="s">
        <v>78</v>
      </c>
      <c r="M486" t="s">
        <v>50</v>
      </c>
      <c r="N486">
        <v>8</v>
      </c>
      <c r="O486" t="str">
        <f t="shared" si="7"/>
        <v>Extended</v>
      </c>
    </row>
    <row r="487" spans="1:15" x14ac:dyDescent="0.3">
      <c r="A487" t="s">
        <v>1022</v>
      </c>
      <c r="B487" t="s">
        <v>1023</v>
      </c>
      <c r="C487">
        <v>75</v>
      </c>
      <c r="D487" t="s">
        <v>25</v>
      </c>
      <c r="E487" s="1">
        <v>45595</v>
      </c>
      <c r="F487" s="1">
        <v>45604</v>
      </c>
      <c r="G487" t="s">
        <v>32</v>
      </c>
      <c r="H487" t="s">
        <v>39</v>
      </c>
      <c r="I487">
        <v>4230</v>
      </c>
      <c r="J487" t="s">
        <v>34</v>
      </c>
      <c r="K487" t="s">
        <v>133</v>
      </c>
      <c r="L487" t="s">
        <v>28</v>
      </c>
      <c r="M487" t="s">
        <v>29</v>
      </c>
      <c r="N487">
        <v>9</v>
      </c>
      <c r="O487" t="str">
        <f t="shared" si="7"/>
        <v>Extended</v>
      </c>
    </row>
    <row r="488" spans="1:15" x14ac:dyDescent="0.3">
      <c r="A488" t="s">
        <v>1024</v>
      </c>
      <c r="B488" t="s">
        <v>1025</v>
      </c>
      <c r="C488">
        <v>72</v>
      </c>
      <c r="D488" t="s">
        <v>25</v>
      </c>
      <c r="E488" s="1">
        <v>45560</v>
      </c>
      <c r="F488" s="1">
        <v>45570</v>
      </c>
      <c r="G488" t="s">
        <v>17</v>
      </c>
      <c r="H488" t="s">
        <v>58</v>
      </c>
      <c r="I488">
        <v>9774</v>
      </c>
      <c r="J488" t="s">
        <v>19</v>
      </c>
      <c r="K488" t="s">
        <v>44</v>
      </c>
      <c r="L488" t="s">
        <v>45</v>
      </c>
      <c r="M488" t="s">
        <v>29</v>
      </c>
      <c r="N488">
        <v>10</v>
      </c>
      <c r="O488" t="str">
        <f t="shared" si="7"/>
        <v>Extended</v>
      </c>
    </row>
    <row r="489" spans="1:15" x14ac:dyDescent="0.3">
      <c r="A489" t="s">
        <v>1026</v>
      </c>
      <c r="B489" t="s">
        <v>1027</v>
      </c>
      <c r="C489">
        <v>69</v>
      </c>
      <c r="D489" t="s">
        <v>25</v>
      </c>
      <c r="E489" s="1">
        <v>45797</v>
      </c>
      <c r="F489" s="1">
        <v>45810</v>
      </c>
      <c r="G489" t="s">
        <v>66</v>
      </c>
      <c r="H489" t="s">
        <v>73</v>
      </c>
      <c r="I489">
        <v>4718</v>
      </c>
      <c r="J489" t="s">
        <v>19</v>
      </c>
      <c r="K489" t="s">
        <v>35</v>
      </c>
      <c r="L489" t="s">
        <v>45</v>
      </c>
      <c r="M489" t="s">
        <v>22</v>
      </c>
      <c r="N489">
        <v>13</v>
      </c>
      <c r="O489" t="str">
        <f t="shared" si="7"/>
        <v>Extended</v>
      </c>
    </row>
    <row r="490" spans="1:15" x14ac:dyDescent="0.3">
      <c r="A490" t="s">
        <v>1028</v>
      </c>
      <c r="B490" t="s">
        <v>1029</v>
      </c>
      <c r="C490">
        <v>27</v>
      </c>
      <c r="D490" t="s">
        <v>16</v>
      </c>
      <c r="E490" s="1">
        <v>45786</v>
      </c>
      <c r="F490" s="1">
        <v>45797</v>
      </c>
      <c r="G490" t="s">
        <v>62</v>
      </c>
      <c r="H490" t="s">
        <v>58</v>
      </c>
      <c r="I490">
        <v>9543</v>
      </c>
      <c r="J490" t="s">
        <v>34</v>
      </c>
      <c r="K490" t="s">
        <v>44</v>
      </c>
      <c r="L490" t="s">
        <v>36</v>
      </c>
      <c r="M490" t="s">
        <v>29</v>
      </c>
      <c r="N490">
        <v>11</v>
      </c>
      <c r="O490" t="str">
        <f t="shared" si="7"/>
        <v>Extended</v>
      </c>
    </row>
    <row r="491" spans="1:15" x14ac:dyDescent="0.3">
      <c r="A491" t="s">
        <v>1030</v>
      </c>
      <c r="B491" t="s">
        <v>1031</v>
      </c>
      <c r="C491">
        <v>8</v>
      </c>
      <c r="D491" t="s">
        <v>16</v>
      </c>
      <c r="E491" s="1">
        <v>45682</v>
      </c>
      <c r="F491" s="1">
        <v>45688</v>
      </c>
      <c r="G491" t="s">
        <v>43</v>
      </c>
      <c r="H491" t="s">
        <v>63</v>
      </c>
      <c r="I491">
        <v>8908</v>
      </c>
      <c r="J491" t="s">
        <v>34</v>
      </c>
      <c r="K491" t="s">
        <v>49</v>
      </c>
      <c r="L491" t="s">
        <v>59</v>
      </c>
      <c r="M491" t="s">
        <v>50</v>
      </c>
      <c r="N491">
        <v>6</v>
      </c>
      <c r="O491" t="str">
        <f t="shared" si="7"/>
        <v>Extended</v>
      </c>
    </row>
    <row r="492" spans="1:15" x14ac:dyDescent="0.3">
      <c r="A492" t="s">
        <v>1032</v>
      </c>
      <c r="B492" t="s">
        <v>1033</v>
      </c>
      <c r="C492">
        <v>72</v>
      </c>
      <c r="D492" t="s">
        <v>25</v>
      </c>
      <c r="E492" s="1">
        <v>45664</v>
      </c>
      <c r="F492" s="1">
        <v>45666</v>
      </c>
      <c r="G492" t="s">
        <v>66</v>
      </c>
      <c r="H492" t="s">
        <v>73</v>
      </c>
      <c r="I492">
        <v>7092</v>
      </c>
      <c r="J492" t="s">
        <v>19</v>
      </c>
      <c r="K492" t="s">
        <v>35</v>
      </c>
      <c r="L492" t="s">
        <v>78</v>
      </c>
      <c r="M492" t="s">
        <v>29</v>
      </c>
      <c r="N492">
        <v>2</v>
      </c>
      <c r="O492" t="str">
        <f t="shared" si="7"/>
        <v>Normal</v>
      </c>
    </row>
    <row r="493" spans="1:15" x14ac:dyDescent="0.3">
      <c r="A493" t="s">
        <v>1034</v>
      </c>
      <c r="B493" t="s">
        <v>1035</v>
      </c>
      <c r="C493">
        <v>15</v>
      </c>
      <c r="D493" t="s">
        <v>25</v>
      </c>
      <c r="E493" s="1">
        <v>45445</v>
      </c>
      <c r="F493" s="1">
        <v>45457</v>
      </c>
      <c r="G493" t="s">
        <v>62</v>
      </c>
      <c r="H493" t="s">
        <v>73</v>
      </c>
      <c r="I493">
        <v>1035</v>
      </c>
      <c r="J493" t="s">
        <v>19</v>
      </c>
      <c r="K493" t="s">
        <v>54</v>
      </c>
      <c r="L493" t="s">
        <v>78</v>
      </c>
      <c r="M493" t="s">
        <v>22</v>
      </c>
      <c r="N493">
        <v>12</v>
      </c>
      <c r="O493" t="str">
        <f t="shared" si="7"/>
        <v>Extended</v>
      </c>
    </row>
    <row r="494" spans="1:15" x14ac:dyDescent="0.3">
      <c r="A494" t="s">
        <v>1036</v>
      </c>
      <c r="B494" t="s">
        <v>1037</v>
      </c>
      <c r="C494">
        <v>86</v>
      </c>
      <c r="D494" t="s">
        <v>16</v>
      </c>
      <c r="E494" s="1">
        <v>45495</v>
      </c>
      <c r="F494" s="1">
        <v>45502</v>
      </c>
      <c r="G494" t="s">
        <v>32</v>
      </c>
      <c r="H494" t="s">
        <v>18</v>
      </c>
      <c r="I494">
        <v>6492</v>
      </c>
      <c r="J494" t="s">
        <v>34</v>
      </c>
      <c r="K494" t="s">
        <v>20</v>
      </c>
      <c r="L494" t="s">
        <v>78</v>
      </c>
      <c r="M494" t="s">
        <v>22</v>
      </c>
      <c r="N494">
        <v>7</v>
      </c>
      <c r="O494" t="str">
        <f t="shared" si="7"/>
        <v>Extended</v>
      </c>
    </row>
    <row r="495" spans="1:15" x14ac:dyDescent="0.3">
      <c r="A495" t="s">
        <v>1038</v>
      </c>
      <c r="B495" t="s">
        <v>1039</v>
      </c>
      <c r="C495">
        <v>81</v>
      </c>
      <c r="D495" t="s">
        <v>25</v>
      </c>
      <c r="E495" s="1">
        <v>45688</v>
      </c>
      <c r="F495" s="1">
        <v>45699</v>
      </c>
      <c r="G495" t="s">
        <v>32</v>
      </c>
      <c r="H495" t="s">
        <v>27</v>
      </c>
      <c r="I495">
        <v>4269</v>
      </c>
      <c r="J495" t="s">
        <v>19</v>
      </c>
      <c r="K495" t="s">
        <v>40</v>
      </c>
      <c r="L495" t="s">
        <v>45</v>
      </c>
      <c r="M495" t="s">
        <v>22</v>
      </c>
      <c r="N495">
        <v>11</v>
      </c>
      <c r="O495" t="str">
        <f t="shared" si="7"/>
        <v>Extended</v>
      </c>
    </row>
    <row r="496" spans="1:15" x14ac:dyDescent="0.3">
      <c r="A496" t="s">
        <v>1040</v>
      </c>
      <c r="B496" t="s">
        <v>1041</v>
      </c>
      <c r="C496">
        <v>46</v>
      </c>
      <c r="D496" t="s">
        <v>25</v>
      </c>
      <c r="E496" s="1">
        <v>45782</v>
      </c>
      <c r="F496" s="1">
        <v>45793</v>
      </c>
      <c r="G496" t="s">
        <v>43</v>
      </c>
      <c r="H496" t="s">
        <v>33</v>
      </c>
      <c r="I496">
        <v>9589</v>
      </c>
      <c r="J496" t="s">
        <v>34</v>
      </c>
      <c r="K496" t="s">
        <v>133</v>
      </c>
      <c r="L496" t="s">
        <v>21</v>
      </c>
      <c r="M496" t="s">
        <v>22</v>
      </c>
      <c r="N496">
        <v>11</v>
      </c>
      <c r="O496" t="str">
        <f t="shared" si="7"/>
        <v>Extended</v>
      </c>
    </row>
    <row r="497" spans="1:15" x14ac:dyDescent="0.3">
      <c r="A497" t="s">
        <v>1042</v>
      </c>
      <c r="B497" t="s">
        <v>1043</v>
      </c>
      <c r="C497">
        <v>89</v>
      </c>
      <c r="D497" t="s">
        <v>16</v>
      </c>
      <c r="E497" s="1">
        <v>45519</v>
      </c>
      <c r="F497" s="1">
        <v>45530</v>
      </c>
      <c r="G497" t="s">
        <v>17</v>
      </c>
      <c r="H497" t="s">
        <v>53</v>
      </c>
      <c r="I497">
        <v>3367</v>
      </c>
      <c r="J497" t="s">
        <v>34</v>
      </c>
      <c r="K497" t="s">
        <v>40</v>
      </c>
      <c r="L497" t="s">
        <v>59</v>
      </c>
      <c r="M497" t="s">
        <v>50</v>
      </c>
      <c r="N497">
        <v>11</v>
      </c>
      <c r="O497" t="str">
        <f t="shared" si="7"/>
        <v>Extended</v>
      </c>
    </row>
    <row r="498" spans="1:15" x14ac:dyDescent="0.3">
      <c r="A498" t="s">
        <v>1044</v>
      </c>
      <c r="B498" t="s">
        <v>1045</v>
      </c>
      <c r="C498">
        <v>8</v>
      </c>
      <c r="D498" t="s">
        <v>25</v>
      </c>
      <c r="E498" s="1">
        <v>45744</v>
      </c>
      <c r="F498" s="1">
        <v>45756</v>
      </c>
      <c r="G498" t="s">
        <v>94</v>
      </c>
      <c r="H498" t="s">
        <v>27</v>
      </c>
      <c r="I498">
        <v>9717</v>
      </c>
      <c r="J498" t="s">
        <v>34</v>
      </c>
      <c r="K498" t="s">
        <v>40</v>
      </c>
      <c r="L498" t="s">
        <v>36</v>
      </c>
      <c r="M498" t="s">
        <v>50</v>
      </c>
      <c r="N498">
        <v>12</v>
      </c>
      <c r="O498" t="str">
        <f t="shared" si="7"/>
        <v>Extended</v>
      </c>
    </row>
    <row r="499" spans="1:15" x14ac:dyDescent="0.3">
      <c r="A499" t="s">
        <v>1046</v>
      </c>
      <c r="B499" t="s">
        <v>147</v>
      </c>
      <c r="C499">
        <v>49</v>
      </c>
      <c r="D499" t="s">
        <v>16</v>
      </c>
      <c r="E499" s="1">
        <v>45669</v>
      </c>
      <c r="F499" s="1">
        <v>45670</v>
      </c>
      <c r="G499" t="s">
        <v>32</v>
      </c>
      <c r="H499" t="s">
        <v>53</v>
      </c>
      <c r="I499">
        <v>3436</v>
      </c>
      <c r="J499" t="s">
        <v>34</v>
      </c>
      <c r="K499" t="s">
        <v>20</v>
      </c>
      <c r="L499" t="s">
        <v>55</v>
      </c>
      <c r="M499" t="s">
        <v>22</v>
      </c>
      <c r="N499">
        <v>1</v>
      </c>
      <c r="O499" t="str">
        <f t="shared" si="7"/>
        <v>Normal</v>
      </c>
    </row>
    <row r="500" spans="1:15" x14ac:dyDescent="0.3">
      <c r="A500" t="s">
        <v>1047</v>
      </c>
      <c r="B500" t="s">
        <v>1048</v>
      </c>
      <c r="C500">
        <v>63</v>
      </c>
      <c r="D500" t="s">
        <v>16</v>
      </c>
      <c r="E500" s="1">
        <v>45781</v>
      </c>
      <c r="F500" s="1">
        <v>45790</v>
      </c>
      <c r="G500" t="s">
        <v>17</v>
      </c>
      <c r="H500" t="s">
        <v>63</v>
      </c>
      <c r="I500">
        <v>9829</v>
      </c>
      <c r="J500" t="s">
        <v>19</v>
      </c>
      <c r="K500" t="s">
        <v>40</v>
      </c>
      <c r="L500" t="s">
        <v>45</v>
      </c>
      <c r="M500" t="s">
        <v>50</v>
      </c>
      <c r="N500">
        <v>9</v>
      </c>
      <c r="O500" t="str">
        <f t="shared" si="7"/>
        <v>Extended</v>
      </c>
    </row>
    <row r="501" spans="1:15" x14ac:dyDescent="0.3">
      <c r="A501" t="s">
        <v>1049</v>
      </c>
      <c r="B501" t="s">
        <v>1050</v>
      </c>
      <c r="C501">
        <v>58</v>
      </c>
      <c r="D501" t="s">
        <v>16</v>
      </c>
      <c r="E501" s="1">
        <v>45542</v>
      </c>
      <c r="F501" s="1">
        <v>45551</v>
      </c>
      <c r="G501" t="s">
        <v>62</v>
      </c>
      <c r="H501" t="s">
        <v>48</v>
      </c>
      <c r="I501">
        <v>9893</v>
      </c>
      <c r="J501" t="s">
        <v>19</v>
      </c>
      <c r="K501" t="s">
        <v>44</v>
      </c>
      <c r="L501" t="s">
        <v>78</v>
      </c>
      <c r="M501" t="s">
        <v>22</v>
      </c>
      <c r="N501">
        <v>9</v>
      </c>
      <c r="O501" t="str">
        <f t="shared" si="7"/>
        <v>Extended</v>
      </c>
    </row>
    <row r="502" spans="1:15" x14ac:dyDescent="0.3">
      <c r="A502" t="s">
        <v>1051</v>
      </c>
      <c r="B502" t="s">
        <v>1052</v>
      </c>
      <c r="C502">
        <v>38</v>
      </c>
      <c r="D502" t="s">
        <v>25</v>
      </c>
      <c r="E502" s="1">
        <v>45685</v>
      </c>
      <c r="F502" s="1">
        <v>45692</v>
      </c>
      <c r="G502" t="s">
        <v>62</v>
      </c>
      <c r="H502" t="s">
        <v>27</v>
      </c>
      <c r="I502">
        <v>2245</v>
      </c>
      <c r="J502" t="s">
        <v>34</v>
      </c>
      <c r="K502" t="s">
        <v>20</v>
      </c>
      <c r="L502" t="s">
        <v>59</v>
      </c>
      <c r="M502" t="s">
        <v>22</v>
      </c>
      <c r="N502">
        <v>7</v>
      </c>
      <c r="O502" t="str">
        <f t="shared" si="7"/>
        <v>Extended</v>
      </c>
    </row>
    <row r="503" spans="1:15" x14ac:dyDescent="0.3">
      <c r="A503" t="s">
        <v>1053</v>
      </c>
      <c r="B503" t="s">
        <v>1054</v>
      </c>
      <c r="C503">
        <v>74</v>
      </c>
      <c r="D503" t="s">
        <v>16</v>
      </c>
      <c r="E503" s="1">
        <v>45583</v>
      </c>
      <c r="F503" s="1">
        <v>45590</v>
      </c>
      <c r="G503" t="s">
        <v>32</v>
      </c>
      <c r="H503" t="s">
        <v>33</v>
      </c>
      <c r="I503">
        <v>1483</v>
      </c>
      <c r="J503" t="s">
        <v>19</v>
      </c>
      <c r="K503" t="s">
        <v>49</v>
      </c>
      <c r="L503" t="s">
        <v>36</v>
      </c>
      <c r="M503" t="s">
        <v>50</v>
      </c>
      <c r="N503">
        <v>7</v>
      </c>
      <c r="O503" t="str">
        <f t="shared" si="7"/>
        <v>Extended</v>
      </c>
    </row>
    <row r="504" spans="1:15" x14ac:dyDescent="0.3">
      <c r="A504" t="s">
        <v>1055</v>
      </c>
      <c r="B504" t="s">
        <v>1056</v>
      </c>
      <c r="C504">
        <v>69</v>
      </c>
      <c r="D504" t="s">
        <v>25</v>
      </c>
      <c r="E504" s="1">
        <v>45606</v>
      </c>
      <c r="F504" s="1">
        <v>45616</v>
      </c>
      <c r="G504" t="s">
        <v>66</v>
      </c>
      <c r="H504" t="s">
        <v>48</v>
      </c>
      <c r="I504">
        <v>4099</v>
      </c>
      <c r="J504" t="s">
        <v>19</v>
      </c>
      <c r="K504" t="s">
        <v>44</v>
      </c>
      <c r="L504" t="s">
        <v>45</v>
      </c>
      <c r="M504" t="s">
        <v>29</v>
      </c>
      <c r="N504">
        <v>10</v>
      </c>
      <c r="O504" t="str">
        <f t="shared" si="7"/>
        <v>Extended</v>
      </c>
    </row>
    <row r="505" spans="1:15" x14ac:dyDescent="0.3">
      <c r="A505" t="s">
        <v>1057</v>
      </c>
      <c r="B505" t="s">
        <v>1058</v>
      </c>
      <c r="C505">
        <v>38</v>
      </c>
      <c r="D505" t="s">
        <v>16</v>
      </c>
      <c r="E505" s="1">
        <v>45721</v>
      </c>
      <c r="F505" s="1">
        <v>45724</v>
      </c>
      <c r="G505" t="s">
        <v>32</v>
      </c>
      <c r="H505" t="s">
        <v>63</v>
      </c>
      <c r="I505">
        <v>7711</v>
      </c>
      <c r="J505" t="s">
        <v>19</v>
      </c>
      <c r="K505" t="s">
        <v>44</v>
      </c>
      <c r="L505" t="s">
        <v>21</v>
      </c>
      <c r="M505" t="s">
        <v>29</v>
      </c>
      <c r="N505">
        <v>3</v>
      </c>
      <c r="O505" t="str">
        <f t="shared" si="7"/>
        <v>Normal</v>
      </c>
    </row>
    <row r="506" spans="1:15" x14ac:dyDescent="0.3">
      <c r="A506" t="s">
        <v>1059</v>
      </c>
      <c r="B506" t="s">
        <v>1060</v>
      </c>
      <c r="C506">
        <v>13</v>
      </c>
      <c r="D506" t="s">
        <v>25</v>
      </c>
      <c r="E506" s="1">
        <v>45719</v>
      </c>
      <c r="F506" s="1">
        <v>45721</v>
      </c>
      <c r="G506" t="s">
        <v>43</v>
      </c>
      <c r="H506" t="s">
        <v>63</v>
      </c>
      <c r="I506">
        <v>5999</v>
      </c>
      <c r="J506" t="s">
        <v>19</v>
      </c>
      <c r="K506" t="s">
        <v>40</v>
      </c>
      <c r="L506" t="s">
        <v>78</v>
      </c>
      <c r="M506" t="s">
        <v>22</v>
      </c>
      <c r="N506">
        <v>2</v>
      </c>
      <c r="O506" t="str">
        <f t="shared" si="7"/>
        <v>Normal</v>
      </c>
    </row>
    <row r="507" spans="1:15" x14ac:dyDescent="0.3">
      <c r="A507" t="s">
        <v>1061</v>
      </c>
      <c r="B507" t="s">
        <v>1062</v>
      </c>
      <c r="C507">
        <v>53</v>
      </c>
      <c r="D507" t="s">
        <v>25</v>
      </c>
      <c r="E507" s="1">
        <v>45580</v>
      </c>
      <c r="F507" s="1">
        <v>45584</v>
      </c>
      <c r="G507" t="s">
        <v>66</v>
      </c>
      <c r="H507" t="s">
        <v>73</v>
      </c>
      <c r="I507">
        <v>8199</v>
      </c>
      <c r="J507" t="s">
        <v>34</v>
      </c>
      <c r="K507" t="s">
        <v>133</v>
      </c>
      <c r="L507" t="s">
        <v>55</v>
      </c>
      <c r="M507" t="s">
        <v>22</v>
      </c>
      <c r="N507">
        <v>4</v>
      </c>
      <c r="O507" t="str">
        <f t="shared" si="7"/>
        <v>Extended</v>
      </c>
    </row>
    <row r="508" spans="1:15" x14ac:dyDescent="0.3">
      <c r="A508" t="s">
        <v>1063</v>
      </c>
      <c r="B508" t="s">
        <v>1064</v>
      </c>
      <c r="C508">
        <v>60</v>
      </c>
      <c r="D508" t="s">
        <v>16</v>
      </c>
      <c r="E508" s="1">
        <v>45787</v>
      </c>
      <c r="F508" s="1">
        <v>45801</v>
      </c>
      <c r="G508" t="s">
        <v>43</v>
      </c>
      <c r="H508" t="s">
        <v>89</v>
      </c>
      <c r="I508">
        <v>6420</v>
      </c>
      <c r="J508" t="s">
        <v>34</v>
      </c>
      <c r="K508" t="s">
        <v>49</v>
      </c>
      <c r="L508" t="s">
        <v>36</v>
      </c>
      <c r="M508" t="s">
        <v>22</v>
      </c>
      <c r="N508">
        <v>14</v>
      </c>
      <c r="O508" t="str">
        <f t="shared" si="7"/>
        <v>Extended</v>
      </c>
    </row>
    <row r="509" spans="1:15" x14ac:dyDescent="0.3">
      <c r="A509" t="s">
        <v>1065</v>
      </c>
      <c r="B509" t="s">
        <v>1066</v>
      </c>
      <c r="C509">
        <v>2</v>
      </c>
      <c r="D509" t="s">
        <v>25</v>
      </c>
      <c r="E509" s="1">
        <v>45580</v>
      </c>
      <c r="F509" s="1">
        <v>45589</v>
      </c>
      <c r="G509" t="s">
        <v>32</v>
      </c>
      <c r="H509" t="s">
        <v>53</v>
      </c>
      <c r="I509">
        <v>3703</v>
      </c>
      <c r="J509" t="s">
        <v>34</v>
      </c>
      <c r="K509" t="s">
        <v>54</v>
      </c>
      <c r="L509" t="s">
        <v>78</v>
      </c>
      <c r="M509" t="s">
        <v>50</v>
      </c>
      <c r="N509">
        <v>9</v>
      </c>
      <c r="O509" t="str">
        <f t="shared" si="7"/>
        <v>Extended</v>
      </c>
    </row>
    <row r="510" spans="1:15" x14ac:dyDescent="0.3">
      <c r="A510" t="s">
        <v>1067</v>
      </c>
      <c r="B510" t="s">
        <v>1068</v>
      </c>
      <c r="C510">
        <v>23</v>
      </c>
      <c r="D510" t="s">
        <v>16</v>
      </c>
      <c r="E510" s="1">
        <v>45785</v>
      </c>
      <c r="F510" s="1">
        <v>45792</v>
      </c>
      <c r="G510" t="s">
        <v>94</v>
      </c>
      <c r="H510" t="s">
        <v>39</v>
      </c>
      <c r="I510">
        <v>8819</v>
      </c>
      <c r="J510" t="s">
        <v>19</v>
      </c>
      <c r="K510" t="s">
        <v>44</v>
      </c>
      <c r="L510" t="s">
        <v>36</v>
      </c>
      <c r="M510" t="s">
        <v>22</v>
      </c>
      <c r="N510">
        <v>7</v>
      </c>
      <c r="O510" t="str">
        <f t="shared" si="7"/>
        <v>Extended</v>
      </c>
    </row>
    <row r="511" spans="1:15" x14ac:dyDescent="0.3">
      <c r="A511" t="s">
        <v>1069</v>
      </c>
      <c r="B511" t="s">
        <v>1070</v>
      </c>
      <c r="C511">
        <v>73</v>
      </c>
      <c r="D511" t="s">
        <v>25</v>
      </c>
      <c r="E511" s="1">
        <v>45533</v>
      </c>
      <c r="F511" s="1">
        <v>45545</v>
      </c>
      <c r="G511" t="s">
        <v>66</v>
      </c>
      <c r="H511" t="s">
        <v>18</v>
      </c>
      <c r="I511">
        <v>4435</v>
      </c>
      <c r="J511" t="s">
        <v>34</v>
      </c>
      <c r="K511" t="s">
        <v>54</v>
      </c>
      <c r="L511" t="s">
        <v>55</v>
      </c>
      <c r="M511" t="s">
        <v>50</v>
      </c>
      <c r="N511">
        <v>12</v>
      </c>
      <c r="O511" t="str">
        <f t="shared" si="7"/>
        <v>Extended</v>
      </c>
    </row>
    <row r="512" spans="1:15" x14ac:dyDescent="0.3">
      <c r="A512" t="s">
        <v>1071</v>
      </c>
      <c r="B512" t="s">
        <v>1072</v>
      </c>
      <c r="C512">
        <v>7</v>
      </c>
      <c r="D512" t="s">
        <v>25</v>
      </c>
      <c r="E512" s="1">
        <v>45771</v>
      </c>
      <c r="F512" s="1">
        <v>45772</v>
      </c>
      <c r="G512" t="s">
        <v>43</v>
      </c>
      <c r="H512" t="s">
        <v>89</v>
      </c>
      <c r="I512">
        <v>6651</v>
      </c>
      <c r="J512" t="s">
        <v>19</v>
      </c>
      <c r="K512" t="s">
        <v>35</v>
      </c>
      <c r="L512" t="s">
        <v>55</v>
      </c>
      <c r="M512" t="s">
        <v>29</v>
      </c>
      <c r="N512">
        <v>1</v>
      </c>
      <c r="O512" t="str">
        <f t="shared" si="7"/>
        <v>Normal</v>
      </c>
    </row>
    <row r="513" spans="1:15" x14ac:dyDescent="0.3">
      <c r="A513" t="s">
        <v>1073</v>
      </c>
      <c r="B513" t="s">
        <v>1074</v>
      </c>
      <c r="C513">
        <v>73</v>
      </c>
      <c r="D513" t="s">
        <v>25</v>
      </c>
      <c r="E513" s="1">
        <v>45703</v>
      </c>
      <c r="F513" s="1">
        <v>45711</v>
      </c>
      <c r="G513" t="s">
        <v>17</v>
      </c>
      <c r="H513" t="s">
        <v>39</v>
      </c>
      <c r="I513">
        <v>6536</v>
      </c>
      <c r="J513" t="s">
        <v>34</v>
      </c>
      <c r="K513" t="s">
        <v>54</v>
      </c>
      <c r="L513" t="s">
        <v>28</v>
      </c>
      <c r="M513" t="s">
        <v>50</v>
      </c>
      <c r="N513">
        <v>8</v>
      </c>
      <c r="O513" t="str">
        <f t="shared" si="7"/>
        <v>Extended</v>
      </c>
    </row>
    <row r="514" spans="1:15" x14ac:dyDescent="0.3">
      <c r="A514" t="s">
        <v>1075</v>
      </c>
      <c r="B514" t="s">
        <v>1076</v>
      </c>
      <c r="C514">
        <v>28</v>
      </c>
      <c r="D514" t="s">
        <v>16</v>
      </c>
      <c r="E514" s="1">
        <v>45708</v>
      </c>
      <c r="F514" s="1">
        <v>45709</v>
      </c>
      <c r="G514" t="s">
        <v>32</v>
      </c>
      <c r="H514" t="s">
        <v>63</v>
      </c>
      <c r="I514">
        <v>4153</v>
      </c>
      <c r="J514" t="s">
        <v>19</v>
      </c>
      <c r="K514" t="s">
        <v>20</v>
      </c>
      <c r="L514" t="s">
        <v>45</v>
      </c>
      <c r="M514" t="s">
        <v>22</v>
      </c>
      <c r="N514">
        <v>1</v>
      </c>
      <c r="O514" t="str">
        <f t="shared" si="7"/>
        <v>Normal</v>
      </c>
    </row>
    <row r="515" spans="1:15" x14ac:dyDescent="0.3">
      <c r="A515" t="s">
        <v>1077</v>
      </c>
      <c r="B515" t="s">
        <v>1078</v>
      </c>
      <c r="C515">
        <v>74</v>
      </c>
      <c r="D515" t="s">
        <v>25</v>
      </c>
      <c r="E515" s="1">
        <v>45549</v>
      </c>
      <c r="F515" s="1">
        <v>45562</v>
      </c>
      <c r="G515" t="s">
        <v>17</v>
      </c>
      <c r="H515" t="s">
        <v>89</v>
      </c>
      <c r="I515">
        <v>4426</v>
      </c>
      <c r="J515" t="s">
        <v>19</v>
      </c>
      <c r="K515" t="s">
        <v>20</v>
      </c>
      <c r="L515" t="s">
        <v>45</v>
      </c>
      <c r="M515" t="s">
        <v>50</v>
      </c>
      <c r="N515">
        <v>13</v>
      </c>
      <c r="O515" t="str">
        <f t="shared" ref="O515:O578" si="8">IF(N515&gt;3,"Extended","Normal")</f>
        <v>Extended</v>
      </c>
    </row>
    <row r="516" spans="1:15" x14ac:dyDescent="0.3">
      <c r="A516" t="s">
        <v>1079</v>
      </c>
      <c r="B516" t="s">
        <v>1080</v>
      </c>
      <c r="C516">
        <v>72</v>
      </c>
      <c r="D516" t="s">
        <v>16</v>
      </c>
      <c r="E516" s="1">
        <v>45521</v>
      </c>
      <c r="F516" s="1">
        <v>45525</v>
      </c>
      <c r="G516" t="s">
        <v>32</v>
      </c>
      <c r="H516" t="s">
        <v>39</v>
      </c>
      <c r="I516">
        <v>2669</v>
      </c>
      <c r="J516" t="s">
        <v>34</v>
      </c>
      <c r="K516" t="s">
        <v>49</v>
      </c>
      <c r="L516" t="s">
        <v>59</v>
      </c>
      <c r="M516" t="s">
        <v>22</v>
      </c>
      <c r="N516">
        <v>4</v>
      </c>
      <c r="O516" t="str">
        <f t="shared" si="8"/>
        <v>Extended</v>
      </c>
    </row>
    <row r="517" spans="1:15" x14ac:dyDescent="0.3">
      <c r="A517" t="s">
        <v>1081</v>
      </c>
      <c r="B517" t="s">
        <v>1082</v>
      </c>
      <c r="C517">
        <v>26</v>
      </c>
      <c r="D517" t="s">
        <v>25</v>
      </c>
      <c r="E517" s="1">
        <v>45716</v>
      </c>
      <c r="F517" s="1">
        <v>45726</v>
      </c>
      <c r="G517" t="s">
        <v>26</v>
      </c>
      <c r="H517" t="s">
        <v>39</v>
      </c>
      <c r="I517">
        <v>2400</v>
      </c>
      <c r="J517" t="s">
        <v>19</v>
      </c>
      <c r="K517" t="s">
        <v>44</v>
      </c>
      <c r="L517" t="s">
        <v>55</v>
      </c>
      <c r="M517" t="s">
        <v>29</v>
      </c>
      <c r="N517">
        <v>10</v>
      </c>
      <c r="O517" t="str">
        <f t="shared" si="8"/>
        <v>Extended</v>
      </c>
    </row>
    <row r="518" spans="1:15" x14ac:dyDescent="0.3">
      <c r="A518" t="s">
        <v>1083</v>
      </c>
      <c r="B518" t="s">
        <v>1084</v>
      </c>
      <c r="C518">
        <v>90</v>
      </c>
      <c r="D518" t="s">
        <v>25</v>
      </c>
      <c r="E518" s="1">
        <v>45685</v>
      </c>
      <c r="F518" s="1">
        <v>45696</v>
      </c>
      <c r="G518" t="s">
        <v>26</v>
      </c>
      <c r="H518" t="s">
        <v>27</v>
      </c>
      <c r="I518">
        <v>3065</v>
      </c>
      <c r="J518" t="s">
        <v>19</v>
      </c>
      <c r="K518" t="s">
        <v>133</v>
      </c>
      <c r="L518" t="s">
        <v>28</v>
      </c>
      <c r="M518" t="s">
        <v>22</v>
      </c>
      <c r="N518">
        <v>11</v>
      </c>
      <c r="O518" t="str">
        <f t="shared" si="8"/>
        <v>Extended</v>
      </c>
    </row>
    <row r="519" spans="1:15" x14ac:dyDescent="0.3">
      <c r="A519" t="s">
        <v>1085</v>
      </c>
      <c r="B519" t="s">
        <v>1086</v>
      </c>
      <c r="C519">
        <v>23</v>
      </c>
      <c r="D519" t="s">
        <v>25</v>
      </c>
      <c r="E519" s="1">
        <v>45796</v>
      </c>
      <c r="F519" s="1">
        <v>45805</v>
      </c>
      <c r="G519" t="s">
        <v>32</v>
      </c>
      <c r="H519" t="s">
        <v>89</v>
      </c>
      <c r="I519">
        <v>3208</v>
      </c>
      <c r="J519" t="s">
        <v>19</v>
      </c>
      <c r="K519" t="s">
        <v>20</v>
      </c>
      <c r="L519" t="s">
        <v>45</v>
      </c>
      <c r="M519" t="s">
        <v>50</v>
      </c>
      <c r="N519">
        <v>9</v>
      </c>
      <c r="O519" t="str">
        <f t="shared" si="8"/>
        <v>Extended</v>
      </c>
    </row>
    <row r="520" spans="1:15" x14ac:dyDescent="0.3">
      <c r="A520" t="s">
        <v>1087</v>
      </c>
      <c r="B520" t="s">
        <v>1088</v>
      </c>
      <c r="C520">
        <v>55</v>
      </c>
      <c r="D520" t="s">
        <v>16</v>
      </c>
      <c r="E520" s="1">
        <v>45648</v>
      </c>
      <c r="F520" s="1">
        <v>45659</v>
      </c>
      <c r="G520" t="s">
        <v>26</v>
      </c>
      <c r="H520" t="s">
        <v>39</v>
      </c>
      <c r="I520">
        <v>9806</v>
      </c>
      <c r="J520" t="s">
        <v>19</v>
      </c>
      <c r="K520" t="s">
        <v>54</v>
      </c>
      <c r="L520" t="s">
        <v>36</v>
      </c>
      <c r="M520" t="s">
        <v>22</v>
      </c>
      <c r="N520">
        <v>11</v>
      </c>
      <c r="O520" t="str">
        <f t="shared" si="8"/>
        <v>Extended</v>
      </c>
    </row>
    <row r="521" spans="1:15" x14ac:dyDescent="0.3">
      <c r="A521" t="s">
        <v>1089</v>
      </c>
      <c r="B521" t="s">
        <v>1090</v>
      </c>
      <c r="C521">
        <v>24</v>
      </c>
      <c r="D521" t="s">
        <v>16</v>
      </c>
      <c r="E521" s="1">
        <v>45738</v>
      </c>
      <c r="F521" s="1">
        <v>45745</v>
      </c>
      <c r="G521" t="s">
        <v>17</v>
      </c>
      <c r="H521" t="s">
        <v>33</v>
      </c>
      <c r="I521">
        <v>7616</v>
      </c>
      <c r="J521" t="s">
        <v>19</v>
      </c>
      <c r="K521" t="s">
        <v>35</v>
      </c>
      <c r="L521" t="s">
        <v>59</v>
      </c>
      <c r="M521" t="s">
        <v>22</v>
      </c>
      <c r="N521">
        <v>7</v>
      </c>
      <c r="O521" t="str">
        <f t="shared" si="8"/>
        <v>Extended</v>
      </c>
    </row>
    <row r="522" spans="1:15" x14ac:dyDescent="0.3">
      <c r="A522" t="s">
        <v>1091</v>
      </c>
      <c r="B522" t="s">
        <v>1092</v>
      </c>
      <c r="C522">
        <v>31</v>
      </c>
      <c r="D522" t="s">
        <v>25</v>
      </c>
      <c r="E522" s="1">
        <v>45498</v>
      </c>
      <c r="F522" s="1">
        <v>45501</v>
      </c>
      <c r="G522" t="s">
        <v>17</v>
      </c>
      <c r="H522" t="s">
        <v>53</v>
      </c>
      <c r="I522">
        <v>6861</v>
      </c>
      <c r="J522" t="s">
        <v>34</v>
      </c>
      <c r="K522" t="s">
        <v>44</v>
      </c>
      <c r="L522" t="s">
        <v>36</v>
      </c>
      <c r="M522" t="s">
        <v>29</v>
      </c>
      <c r="N522">
        <v>3</v>
      </c>
      <c r="O522" t="str">
        <f t="shared" si="8"/>
        <v>Normal</v>
      </c>
    </row>
    <row r="523" spans="1:15" x14ac:dyDescent="0.3">
      <c r="A523" t="s">
        <v>1093</v>
      </c>
      <c r="B523" t="s">
        <v>1094</v>
      </c>
      <c r="C523">
        <v>67</v>
      </c>
      <c r="D523" t="s">
        <v>25</v>
      </c>
      <c r="E523" s="1">
        <v>45471</v>
      </c>
      <c r="F523" s="1">
        <v>45485</v>
      </c>
      <c r="G523" t="s">
        <v>26</v>
      </c>
      <c r="H523" t="s">
        <v>33</v>
      </c>
      <c r="I523">
        <v>4522</v>
      </c>
      <c r="J523" t="s">
        <v>19</v>
      </c>
      <c r="K523" t="s">
        <v>133</v>
      </c>
      <c r="L523" t="s">
        <v>55</v>
      </c>
      <c r="M523" t="s">
        <v>22</v>
      </c>
      <c r="N523">
        <v>14</v>
      </c>
      <c r="O523" t="str">
        <f t="shared" si="8"/>
        <v>Extended</v>
      </c>
    </row>
    <row r="524" spans="1:15" x14ac:dyDescent="0.3">
      <c r="A524" t="s">
        <v>1095</v>
      </c>
      <c r="B524" t="s">
        <v>1096</v>
      </c>
      <c r="C524">
        <v>22</v>
      </c>
      <c r="D524" t="s">
        <v>16</v>
      </c>
      <c r="E524" s="1">
        <v>45538</v>
      </c>
      <c r="F524" s="1">
        <v>45543</v>
      </c>
      <c r="G524" t="s">
        <v>66</v>
      </c>
      <c r="H524" t="s">
        <v>53</v>
      </c>
      <c r="I524">
        <v>1226</v>
      </c>
      <c r="J524" t="s">
        <v>34</v>
      </c>
      <c r="K524" t="s">
        <v>133</v>
      </c>
      <c r="L524" t="s">
        <v>45</v>
      </c>
      <c r="M524" t="s">
        <v>22</v>
      </c>
      <c r="N524">
        <v>5</v>
      </c>
      <c r="O524" t="str">
        <f t="shared" si="8"/>
        <v>Extended</v>
      </c>
    </row>
    <row r="525" spans="1:15" x14ac:dyDescent="0.3">
      <c r="A525" t="s">
        <v>1097</v>
      </c>
      <c r="B525" t="s">
        <v>1098</v>
      </c>
      <c r="C525">
        <v>52</v>
      </c>
      <c r="D525" t="s">
        <v>16</v>
      </c>
      <c r="E525" s="1">
        <v>45521</v>
      </c>
      <c r="F525" s="1">
        <v>45524</v>
      </c>
      <c r="G525" t="s">
        <v>94</v>
      </c>
      <c r="H525" t="s">
        <v>27</v>
      </c>
      <c r="I525">
        <v>4684</v>
      </c>
      <c r="J525" t="s">
        <v>34</v>
      </c>
      <c r="K525" t="s">
        <v>54</v>
      </c>
      <c r="L525" t="s">
        <v>55</v>
      </c>
      <c r="M525" t="s">
        <v>50</v>
      </c>
      <c r="N525">
        <v>3</v>
      </c>
      <c r="O525" t="str">
        <f t="shared" si="8"/>
        <v>Normal</v>
      </c>
    </row>
    <row r="526" spans="1:15" x14ac:dyDescent="0.3">
      <c r="A526" t="s">
        <v>1099</v>
      </c>
      <c r="B526" t="s">
        <v>1100</v>
      </c>
      <c r="C526">
        <v>36</v>
      </c>
      <c r="D526" t="s">
        <v>25</v>
      </c>
      <c r="E526" s="1">
        <v>45655</v>
      </c>
      <c r="F526" s="1">
        <v>45668</v>
      </c>
      <c r="G526" t="s">
        <v>94</v>
      </c>
      <c r="H526" t="s">
        <v>48</v>
      </c>
      <c r="I526">
        <v>5456</v>
      </c>
      <c r="J526" t="s">
        <v>34</v>
      </c>
      <c r="K526" t="s">
        <v>40</v>
      </c>
      <c r="L526" t="s">
        <v>28</v>
      </c>
      <c r="M526" t="s">
        <v>50</v>
      </c>
      <c r="N526">
        <v>13</v>
      </c>
      <c r="O526" t="str">
        <f t="shared" si="8"/>
        <v>Extended</v>
      </c>
    </row>
    <row r="527" spans="1:15" x14ac:dyDescent="0.3">
      <c r="A527" t="s">
        <v>1101</v>
      </c>
      <c r="B527" t="s">
        <v>1102</v>
      </c>
      <c r="C527">
        <v>85</v>
      </c>
      <c r="D527" t="s">
        <v>25</v>
      </c>
      <c r="E527" s="1">
        <v>45444</v>
      </c>
      <c r="F527" s="1">
        <v>45449</v>
      </c>
      <c r="G527" t="s">
        <v>94</v>
      </c>
      <c r="H527" t="s">
        <v>39</v>
      </c>
      <c r="I527">
        <v>1511</v>
      </c>
      <c r="J527" t="s">
        <v>34</v>
      </c>
      <c r="K527" t="s">
        <v>54</v>
      </c>
      <c r="L527" t="s">
        <v>59</v>
      </c>
      <c r="M527" t="s">
        <v>50</v>
      </c>
      <c r="N527">
        <v>5</v>
      </c>
      <c r="O527" t="str">
        <f t="shared" si="8"/>
        <v>Extended</v>
      </c>
    </row>
    <row r="528" spans="1:15" x14ac:dyDescent="0.3">
      <c r="A528" t="s">
        <v>1103</v>
      </c>
      <c r="B528" t="s">
        <v>1104</v>
      </c>
      <c r="C528">
        <v>73</v>
      </c>
      <c r="D528" t="s">
        <v>16</v>
      </c>
      <c r="E528" s="1">
        <v>45560</v>
      </c>
      <c r="F528" s="1">
        <v>45562</v>
      </c>
      <c r="G528" t="s">
        <v>62</v>
      </c>
      <c r="H528" t="s">
        <v>18</v>
      </c>
      <c r="I528">
        <v>2191</v>
      </c>
      <c r="J528" t="s">
        <v>19</v>
      </c>
      <c r="K528" t="s">
        <v>133</v>
      </c>
      <c r="L528" t="s">
        <v>36</v>
      </c>
      <c r="M528" t="s">
        <v>50</v>
      </c>
      <c r="N528">
        <v>2</v>
      </c>
      <c r="O528" t="str">
        <f t="shared" si="8"/>
        <v>Normal</v>
      </c>
    </row>
    <row r="529" spans="1:15" x14ac:dyDescent="0.3">
      <c r="A529" t="s">
        <v>1105</v>
      </c>
      <c r="B529" t="s">
        <v>1106</v>
      </c>
      <c r="C529">
        <v>67</v>
      </c>
      <c r="D529" t="s">
        <v>25</v>
      </c>
      <c r="E529" s="1">
        <v>45615</v>
      </c>
      <c r="F529" s="1">
        <v>45627</v>
      </c>
      <c r="G529" t="s">
        <v>66</v>
      </c>
      <c r="H529" t="s">
        <v>73</v>
      </c>
      <c r="I529">
        <v>6359</v>
      </c>
      <c r="J529" t="s">
        <v>34</v>
      </c>
      <c r="K529" t="s">
        <v>20</v>
      </c>
      <c r="L529" t="s">
        <v>59</v>
      </c>
      <c r="M529" t="s">
        <v>29</v>
      </c>
      <c r="N529">
        <v>12</v>
      </c>
      <c r="O529" t="str">
        <f t="shared" si="8"/>
        <v>Extended</v>
      </c>
    </row>
    <row r="530" spans="1:15" x14ac:dyDescent="0.3">
      <c r="A530" t="s">
        <v>1107</v>
      </c>
      <c r="B530" t="s">
        <v>1108</v>
      </c>
      <c r="C530">
        <v>63</v>
      </c>
      <c r="D530" t="s">
        <v>16</v>
      </c>
      <c r="E530" s="1">
        <v>45644</v>
      </c>
      <c r="F530" s="1">
        <v>45652</v>
      </c>
      <c r="G530" t="s">
        <v>26</v>
      </c>
      <c r="H530" t="s">
        <v>27</v>
      </c>
      <c r="I530">
        <v>1490</v>
      </c>
      <c r="J530" t="s">
        <v>19</v>
      </c>
      <c r="K530" t="s">
        <v>35</v>
      </c>
      <c r="L530" t="s">
        <v>36</v>
      </c>
      <c r="M530" t="s">
        <v>50</v>
      </c>
      <c r="N530">
        <v>8</v>
      </c>
      <c r="O530" t="str">
        <f t="shared" si="8"/>
        <v>Extended</v>
      </c>
    </row>
    <row r="531" spans="1:15" x14ac:dyDescent="0.3">
      <c r="A531" t="s">
        <v>1109</v>
      </c>
      <c r="B531" t="s">
        <v>1110</v>
      </c>
      <c r="C531">
        <v>68</v>
      </c>
      <c r="D531" t="s">
        <v>25</v>
      </c>
      <c r="E531" s="1">
        <v>45530</v>
      </c>
      <c r="F531" s="1">
        <v>45534</v>
      </c>
      <c r="G531" t="s">
        <v>66</v>
      </c>
      <c r="H531" t="s">
        <v>73</v>
      </c>
      <c r="I531">
        <v>8814</v>
      </c>
      <c r="J531" t="s">
        <v>34</v>
      </c>
      <c r="K531" t="s">
        <v>133</v>
      </c>
      <c r="L531" t="s">
        <v>78</v>
      </c>
      <c r="M531" t="s">
        <v>22</v>
      </c>
      <c r="N531">
        <v>4</v>
      </c>
      <c r="O531" t="str">
        <f t="shared" si="8"/>
        <v>Extended</v>
      </c>
    </row>
    <row r="532" spans="1:15" x14ac:dyDescent="0.3">
      <c r="A532" t="s">
        <v>1111</v>
      </c>
      <c r="B532" t="s">
        <v>1112</v>
      </c>
      <c r="C532">
        <v>53</v>
      </c>
      <c r="D532" t="s">
        <v>16</v>
      </c>
      <c r="E532" s="1">
        <v>45674</v>
      </c>
      <c r="F532" s="1">
        <v>45687</v>
      </c>
      <c r="G532" t="s">
        <v>94</v>
      </c>
      <c r="H532" t="s">
        <v>33</v>
      </c>
      <c r="I532">
        <v>7286</v>
      </c>
      <c r="J532" t="s">
        <v>19</v>
      </c>
      <c r="K532" t="s">
        <v>44</v>
      </c>
      <c r="L532" t="s">
        <v>36</v>
      </c>
      <c r="M532" t="s">
        <v>22</v>
      </c>
      <c r="N532">
        <v>13</v>
      </c>
      <c r="O532" t="str">
        <f t="shared" si="8"/>
        <v>Extended</v>
      </c>
    </row>
    <row r="533" spans="1:15" x14ac:dyDescent="0.3">
      <c r="A533" t="s">
        <v>1113</v>
      </c>
      <c r="B533" t="s">
        <v>1114</v>
      </c>
      <c r="C533">
        <v>83</v>
      </c>
      <c r="D533" t="s">
        <v>25</v>
      </c>
      <c r="E533" s="1">
        <v>45563</v>
      </c>
      <c r="F533" s="1">
        <v>45567</v>
      </c>
      <c r="G533" t="s">
        <v>43</v>
      </c>
      <c r="H533" t="s">
        <v>63</v>
      </c>
      <c r="I533">
        <v>6790</v>
      </c>
      <c r="J533" t="s">
        <v>34</v>
      </c>
      <c r="K533" t="s">
        <v>35</v>
      </c>
      <c r="L533" t="s">
        <v>45</v>
      </c>
      <c r="M533" t="s">
        <v>22</v>
      </c>
      <c r="N533">
        <v>4</v>
      </c>
      <c r="O533" t="str">
        <f t="shared" si="8"/>
        <v>Extended</v>
      </c>
    </row>
    <row r="534" spans="1:15" x14ac:dyDescent="0.3">
      <c r="A534" t="s">
        <v>1115</v>
      </c>
      <c r="B534" t="s">
        <v>1116</v>
      </c>
      <c r="C534">
        <v>30</v>
      </c>
      <c r="D534" t="s">
        <v>25</v>
      </c>
      <c r="E534" s="1">
        <v>45543</v>
      </c>
      <c r="F534" s="1">
        <v>45555</v>
      </c>
      <c r="G534" t="s">
        <v>66</v>
      </c>
      <c r="H534" t="s">
        <v>18</v>
      </c>
      <c r="I534">
        <v>4612</v>
      </c>
      <c r="J534" t="s">
        <v>19</v>
      </c>
      <c r="K534" t="s">
        <v>133</v>
      </c>
      <c r="L534" t="s">
        <v>45</v>
      </c>
      <c r="M534" t="s">
        <v>29</v>
      </c>
      <c r="N534">
        <v>12</v>
      </c>
      <c r="O534" t="str">
        <f t="shared" si="8"/>
        <v>Extended</v>
      </c>
    </row>
    <row r="535" spans="1:15" x14ac:dyDescent="0.3">
      <c r="A535" t="s">
        <v>1117</v>
      </c>
      <c r="B535" t="s">
        <v>1118</v>
      </c>
      <c r="C535">
        <v>85</v>
      </c>
      <c r="D535" t="s">
        <v>25</v>
      </c>
      <c r="E535" s="1">
        <v>45541</v>
      </c>
      <c r="F535" s="1">
        <v>45553</v>
      </c>
      <c r="G535" t="s">
        <v>43</v>
      </c>
      <c r="H535" t="s">
        <v>63</v>
      </c>
      <c r="I535">
        <v>7508</v>
      </c>
      <c r="J535" t="s">
        <v>19</v>
      </c>
      <c r="K535" t="s">
        <v>40</v>
      </c>
      <c r="L535" t="s">
        <v>55</v>
      </c>
      <c r="M535" t="s">
        <v>29</v>
      </c>
      <c r="N535">
        <v>12</v>
      </c>
      <c r="O535" t="str">
        <f t="shared" si="8"/>
        <v>Extended</v>
      </c>
    </row>
    <row r="536" spans="1:15" x14ac:dyDescent="0.3">
      <c r="A536" t="s">
        <v>1119</v>
      </c>
      <c r="B536" t="s">
        <v>1120</v>
      </c>
      <c r="C536">
        <v>68</v>
      </c>
      <c r="D536" t="s">
        <v>16</v>
      </c>
      <c r="E536" s="1">
        <v>45757</v>
      </c>
      <c r="F536" s="1">
        <v>45760</v>
      </c>
      <c r="G536" t="s">
        <v>17</v>
      </c>
      <c r="H536" t="s">
        <v>48</v>
      </c>
      <c r="I536">
        <v>8723</v>
      </c>
      <c r="J536" t="s">
        <v>34</v>
      </c>
      <c r="K536" t="s">
        <v>20</v>
      </c>
      <c r="L536" t="s">
        <v>36</v>
      </c>
      <c r="M536" t="s">
        <v>29</v>
      </c>
      <c r="N536">
        <v>3</v>
      </c>
      <c r="O536" t="str">
        <f t="shared" si="8"/>
        <v>Normal</v>
      </c>
    </row>
    <row r="537" spans="1:15" x14ac:dyDescent="0.3">
      <c r="A537" t="s">
        <v>1121</v>
      </c>
      <c r="B537" t="s">
        <v>1122</v>
      </c>
      <c r="C537">
        <v>61</v>
      </c>
      <c r="D537" t="s">
        <v>25</v>
      </c>
      <c r="E537" s="1">
        <v>45539</v>
      </c>
      <c r="F537" s="1">
        <v>45550</v>
      </c>
      <c r="G537" t="s">
        <v>66</v>
      </c>
      <c r="H537" t="s">
        <v>73</v>
      </c>
      <c r="I537">
        <v>2964</v>
      </c>
      <c r="J537" t="s">
        <v>34</v>
      </c>
      <c r="K537" t="s">
        <v>133</v>
      </c>
      <c r="L537" t="s">
        <v>59</v>
      </c>
      <c r="M537" t="s">
        <v>29</v>
      </c>
      <c r="N537">
        <v>11</v>
      </c>
      <c r="O537" t="str">
        <f t="shared" si="8"/>
        <v>Extended</v>
      </c>
    </row>
    <row r="538" spans="1:15" x14ac:dyDescent="0.3">
      <c r="A538" t="s">
        <v>1123</v>
      </c>
      <c r="B538" t="s">
        <v>1124</v>
      </c>
      <c r="C538">
        <v>11</v>
      </c>
      <c r="D538" t="s">
        <v>16</v>
      </c>
      <c r="E538" s="1">
        <v>45631</v>
      </c>
      <c r="F538" s="1">
        <v>45643</v>
      </c>
      <c r="G538" t="s">
        <v>43</v>
      </c>
      <c r="H538" t="s">
        <v>53</v>
      </c>
      <c r="I538">
        <v>7232</v>
      </c>
      <c r="J538" t="s">
        <v>19</v>
      </c>
      <c r="K538" t="s">
        <v>49</v>
      </c>
      <c r="L538" t="s">
        <v>21</v>
      </c>
      <c r="M538" t="s">
        <v>22</v>
      </c>
      <c r="N538">
        <v>12</v>
      </c>
      <c r="O538" t="str">
        <f t="shared" si="8"/>
        <v>Extended</v>
      </c>
    </row>
    <row r="539" spans="1:15" x14ac:dyDescent="0.3">
      <c r="A539" t="s">
        <v>1125</v>
      </c>
      <c r="B539" t="s">
        <v>1126</v>
      </c>
      <c r="C539">
        <v>63</v>
      </c>
      <c r="D539" t="s">
        <v>16</v>
      </c>
      <c r="E539" s="1">
        <v>45621</v>
      </c>
      <c r="F539" s="1">
        <v>45628</v>
      </c>
      <c r="G539" t="s">
        <v>43</v>
      </c>
      <c r="H539" t="s">
        <v>53</v>
      </c>
      <c r="I539">
        <v>5732</v>
      </c>
      <c r="J539" t="s">
        <v>34</v>
      </c>
      <c r="K539" t="s">
        <v>133</v>
      </c>
      <c r="L539" t="s">
        <v>78</v>
      </c>
      <c r="M539" t="s">
        <v>50</v>
      </c>
      <c r="N539">
        <v>7</v>
      </c>
      <c r="O539" t="str">
        <f t="shared" si="8"/>
        <v>Extended</v>
      </c>
    </row>
    <row r="540" spans="1:15" x14ac:dyDescent="0.3">
      <c r="A540" t="s">
        <v>1127</v>
      </c>
      <c r="B540" t="s">
        <v>1128</v>
      </c>
      <c r="C540">
        <v>80</v>
      </c>
      <c r="D540" t="s">
        <v>25</v>
      </c>
      <c r="E540" s="1">
        <v>45738</v>
      </c>
      <c r="F540" s="1">
        <v>45751</v>
      </c>
      <c r="G540" t="s">
        <v>62</v>
      </c>
      <c r="H540" t="s">
        <v>89</v>
      </c>
      <c r="I540">
        <v>9604</v>
      </c>
      <c r="J540" t="s">
        <v>19</v>
      </c>
      <c r="K540" t="s">
        <v>133</v>
      </c>
      <c r="L540" t="s">
        <v>59</v>
      </c>
      <c r="M540" t="s">
        <v>50</v>
      </c>
      <c r="N540">
        <v>13</v>
      </c>
      <c r="O540" t="str">
        <f t="shared" si="8"/>
        <v>Extended</v>
      </c>
    </row>
    <row r="541" spans="1:15" x14ac:dyDescent="0.3">
      <c r="A541" t="s">
        <v>1129</v>
      </c>
      <c r="B541" t="s">
        <v>1130</v>
      </c>
      <c r="C541">
        <v>56</v>
      </c>
      <c r="D541" t="s">
        <v>25</v>
      </c>
      <c r="E541" s="1">
        <v>45704</v>
      </c>
      <c r="F541" s="1">
        <v>45717</v>
      </c>
      <c r="G541" t="s">
        <v>66</v>
      </c>
      <c r="H541" t="s">
        <v>33</v>
      </c>
      <c r="I541">
        <v>6354</v>
      </c>
      <c r="J541" t="s">
        <v>19</v>
      </c>
      <c r="K541" t="s">
        <v>54</v>
      </c>
      <c r="L541" t="s">
        <v>21</v>
      </c>
      <c r="M541" t="s">
        <v>29</v>
      </c>
      <c r="N541">
        <v>13</v>
      </c>
      <c r="O541" t="str">
        <f t="shared" si="8"/>
        <v>Extended</v>
      </c>
    </row>
    <row r="542" spans="1:15" x14ac:dyDescent="0.3">
      <c r="A542" t="s">
        <v>1131</v>
      </c>
      <c r="B542" t="s">
        <v>1132</v>
      </c>
      <c r="C542">
        <v>18</v>
      </c>
      <c r="D542" t="s">
        <v>25</v>
      </c>
      <c r="E542" s="1">
        <v>45566</v>
      </c>
      <c r="F542" s="1">
        <v>45569</v>
      </c>
      <c r="G542" t="s">
        <v>43</v>
      </c>
      <c r="H542" t="s">
        <v>39</v>
      </c>
      <c r="I542">
        <v>5428</v>
      </c>
      <c r="J542" t="s">
        <v>19</v>
      </c>
      <c r="K542" t="s">
        <v>20</v>
      </c>
      <c r="L542" t="s">
        <v>55</v>
      </c>
      <c r="M542" t="s">
        <v>22</v>
      </c>
      <c r="N542">
        <v>3</v>
      </c>
      <c r="O542" t="str">
        <f t="shared" si="8"/>
        <v>Normal</v>
      </c>
    </row>
    <row r="543" spans="1:15" x14ac:dyDescent="0.3">
      <c r="A543" t="s">
        <v>1133</v>
      </c>
      <c r="B543" t="s">
        <v>1134</v>
      </c>
      <c r="C543">
        <v>35</v>
      </c>
      <c r="D543" t="s">
        <v>25</v>
      </c>
      <c r="E543" s="1">
        <v>45597</v>
      </c>
      <c r="F543" s="1">
        <v>45602</v>
      </c>
      <c r="G543" t="s">
        <v>43</v>
      </c>
      <c r="H543" t="s">
        <v>53</v>
      </c>
      <c r="I543">
        <v>4353</v>
      </c>
      <c r="J543" t="s">
        <v>34</v>
      </c>
      <c r="K543" t="s">
        <v>20</v>
      </c>
      <c r="L543" t="s">
        <v>78</v>
      </c>
      <c r="M543" t="s">
        <v>22</v>
      </c>
      <c r="N543">
        <v>5</v>
      </c>
      <c r="O543" t="str">
        <f t="shared" si="8"/>
        <v>Extended</v>
      </c>
    </row>
    <row r="544" spans="1:15" x14ac:dyDescent="0.3">
      <c r="A544" t="s">
        <v>1135</v>
      </c>
      <c r="B544" t="s">
        <v>1136</v>
      </c>
      <c r="C544">
        <v>33</v>
      </c>
      <c r="D544" t="s">
        <v>16</v>
      </c>
      <c r="E544" s="1">
        <v>45532</v>
      </c>
      <c r="F544" s="1">
        <v>45544</v>
      </c>
      <c r="G544" t="s">
        <v>43</v>
      </c>
      <c r="H544" t="s">
        <v>48</v>
      </c>
      <c r="I544">
        <v>6667</v>
      </c>
      <c r="J544" t="s">
        <v>34</v>
      </c>
      <c r="K544" t="s">
        <v>40</v>
      </c>
      <c r="L544" t="s">
        <v>78</v>
      </c>
      <c r="M544" t="s">
        <v>50</v>
      </c>
      <c r="N544">
        <v>12</v>
      </c>
      <c r="O544" t="str">
        <f t="shared" si="8"/>
        <v>Extended</v>
      </c>
    </row>
    <row r="545" spans="1:15" x14ac:dyDescent="0.3">
      <c r="A545" t="s">
        <v>1137</v>
      </c>
      <c r="B545" t="s">
        <v>1138</v>
      </c>
      <c r="C545">
        <v>4</v>
      </c>
      <c r="D545" t="s">
        <v>25</v>
      </c>
      <c r="E545" s="1">
        <v>45739</v>
      </c>
      <c r="F545" s="1">
        <v>45752</v>
      </c>
      <c r="G545" t="s">
        <v>26</v>
      </c>
      <c r="H545" t="s">
        <v>73</v>
      </c>
      <c r="I545">
        <v>7120</v>
      </c>
      <c r="J545" t="s">
        <v>34</v>
      </c>
      <c r="K545" t="s">
        <v>44</v>
      </c>
      <c r="L545" t="s">
        <v>59</v>
      </c>
      <c r="M545" t="s">
        <v>50</v>
      </c>
      <c r="N545">
        <v>13</v>
      </c>
      <c r="O545" t="str">
        <f t="shared" si="8"/>
        <v>Extended</v>
      </c>
    </row>
    <row r="546" spans="1:15" x14ac:dyDescent="0.3">
      <c r="A546" t="s">
        <v>1139</v>
      </c>
      <c r="B546" t="s">
        <v>1140</v>
      </c>
      <c r="C546">
        <v>78</v>
      </c>
      <c r="D546" t="s">
        <v>25</v>
      </c>
      <c r="E546" s="1">
        <v>45654</v>
      </c>
      <c r="F546" s="1">
        <v>45657</v>
      </c>
      <c r="G546" t="s">
        <v>94</v>
      </c>
      <c r="H546" t="s">
        <v>89</v>
      </c>
      <c r="I546">
        <v>7106</v>
      </c>
      <c r="J546" t="s">
        <v>19</v>
      </c>
      <c r="K546" t="s">
        <v>54</v>
      </c>
      <c r="L546" t="s">
        <v>28</v>
      </c>
      <c r="M546" t="s">
        <v>22</v>
      </c>
      <c r="N546">
        <v>3</v>
      </c>
      <c r="O546" t="str">
        <f t="shared" si="8"/>
        <v>Normal</v>
      </c>
    </row>
    <row r="547" spans="1:15" x14ac:dyDescent="0.3">
      <c r="A547" t="s">
        <v>1141</v>
      </c>
      <c r="B547" t="s">
        <v>1142</v>
      </c>
      <c r="C547">
        <v>15</v>
      </c>
      <c r="D547" t="s">
        <v>16</v>
      </c>
      <c r="E547" s="1">
        <v>45481</v>
      </c>
      <c r="F547" s="1">
        <v>45492</v>
      </c>
      <c r="G547" t="s">
        <v>26</v>
      </c>
      <c r="H547" t="s">
        <v>58</v>
      </c>
      <c r="I547">
        <v>1764</v>
      </c>
      <c r="J547" t="s">
        <v>34</v>
      </c>
      <c r="K547" t="s">
        <v>44</v>
      </c>
      <c r="L547" t="s">
        <v>28</v>
      </c>
      <c r="M547" t="s">
        <v>50</v>
      </c>
      <c r="N547">
        <v>11</v>
      </c>
      <c r="O547" t="str">
        <f t="shared" si="8"/>
        <v>Extended</v>
      </c>
    </row>
    <row r="548" spans="1:15" x14ac:dyDescent="0.3">
      <c r="A548" t="s">
        <v>1143</v>
      </c>
      <c r="B548" t="s">
        <v>1144</v>
      </c>
      <c r="C548">
        <v>69</v>
      </c>
      <c r="D548" t="s">
        <v>25</v>
      </c>
      <c r="E548" s="1">
        <v>45620</v>
      </c>
      <c r="F548" s="1">
        <v>45629</v>
      </c>
      <c r="G548" t="s">
        <v>43</v>
      </c>
      <c r="H548" t="s">
        <v>53</v>
      </c>
      <c r="I548">
        <v>4213</v>
      </c>
      <c r="J548" t="s">
        <v>19</v>
      </c>
      <c r="K548" t="s">
        <v>35</v>
      </c>
      <c r="L548" t="s">
        <v>36</v>
      </c>
      <c r="M548" t="s">
        <v>50</v>
      </c>
      <c r="N548">
        <v>9</v>
      </c>
      <c r="O548" t="str">
        <f t="shared" si="8"/>
        <v>Extended</v>
      </c>
    </row>
    <row r="549" spans="1:15" x14ac:dyDescent="0.3">
      <c r="A549" t="s">
        <v>1145</v>
      </c>
      <c r="B549" t="s">
        <v>1146</v>
      </c>
      <c r="C549">
        <v>61</v>
      </c>
      <c r="D549" t="s">
        <v>16</v>
      </c>
      <c r="E549" s="1">
        <v>45806</v>
      </c>
      <c r="F549" s="1">
        <v>45819</v>
      </c>
      <c r="G549" t="s">
        <v>43</v>
      </c>
      <c r="H549" t="s">
        <v>18</v>
      </c>
      <c r="I549">
        <v>1683</v>
      </c>
      <c r="J549" t="s">
        <v>19</v>
      </c>
      <c r="K549" t="s">
        <v>54</v>
      </c>
      <c r="L549" t="s">
        <v>55</v>
      </c>
      <c r="M549" t="s">
        <v>50</v>
      </c>
      <c r="N549">
        <v>13</v>
      </c>
      <c r="O549" t="str">
        <f t="shared" si="8"/>
        <v>Extended</v>
      </c>
    </row>
    <row r="550" spans="1:15" x14ac:dyDescent="0.3">
      <c r="A550" t="s">
        <v>1147</v>
      </c>
      <c r="B550" t="s">
        <v>1148</v>
      </c>
      <c r="C550">
        <v>49</v>
      </c>
      <c r="D550" t="s">
        <v>25</v>
      </c>
      <c r="E550" s="1">
        <v>45666</v>
      </c>
      <c r="F550" s="1">
        <v>45676</v>
      </c>
      <c r="G550" t="s">
        <v>17</v>
      </c>
      <c r="H550" t="s">
        <v>27</v>
      </c>
      <c r="I550">
        <v>9363</v>
      </c>
      <c r="J550" t="s">
        <v>34</v>
      </c>
      <c r="K550" t="s">
        <v>40</v>
      </c>
      <c r="L550" t="s">
        <v>21</v>
      </c>
      <c r="M550" t="s">
        <v>22</v>
      </c>
      <c r="N550">
        <v>10</v>
      </c>
      <c r="O550" t="str">
        <f t="shared" si="8"/>
        <v>Extended</v>
      </c>
    </row>
    <row r="551" spans="1:15" x14ac:dyDescent="0.3">
      <c r="A551" t="s">
        <v>1149</v>
      </c>
      <c r="B551" t="s">
        <v>1150</v>
      </c>
      <c r="C551">
        <v>1</v>
      </c>
      <c r="D551" t="s">
        <v>16</v>
      </c>
      <c r="E551" s="1">
        <v>45503</v>
      </c>
      <c r="F551" s="1">
        <v>45506</v>
      </c>
      <c r="G551" t="s">
        <v>66</v>
      </c>
      <c r="H551" t="s">
        <v>58</v>
      </c>
      <c r="I551">
        <v>3623</v>
      </c>
      <c r="J551" t="s">
        <v>34</v>
      </c>
      <c r="K551" t="s">
        <v>44</v>
      </c>
      <c r="L551" t="s">
        <v>28</v>
      </c>
      <c r="M551" t="s">
        <v>29</v>
      </c>
      <c r="N551">
        <v>3</v>
      </c>
      <c r="O551" t="str">
        <f t="shared" si="8"/>
        <v>Normal</v>
      </c>
    </row>
    <row r="552" spans="1:15" x14ac:dyDescent="0.3">
      <c r="A552" t="s">
        <v>1151</v>
      </c>
      <c r="B552" t="s">
        <v>1152</v>
      </c>
      <c r="C552">
        <v>45</v>
      </c>
      <c r="D552" t="s">
        <v>25</v>
      </c>
      <c r="E552" s="1">
        <v>45550</v>
      </c>
      <c r="F552" s="1">
        <v>45552</v>
      </c>
      <c r="G552" t="s">
        <v>43</v>
      </c>
      <c r="H552" t="s">
        <v>58</v>
      </c>
      <c r="I552">
        <v>9764</v>
      </c>
      <c r="J552" t="s">
        <v>19</v>
      </c>
      <c r="K552" t="s">
        <v>40</v>
      </c>
      <c r="L552" t="s">
        <v>78</v>
      </c>
      <c r="M552" t="s">
        <v>29</v>
      </c>
      <c r="N552">
        <v>2</v>
      </c>
      <c r="O552" t="str">
        <f t="shared" si="8"/>
        <v>Normal</v>
      </c>
    </row>
    <row r="553" spans="1:15" x14ac:dyDescent="0.3">
      <c r="A553" t="s">
        <v>1153</v>
      </c>
      <c r="B553" t="s">
        <v>1154</v>
      </c>
      <c r="C553">
        <v>64</v>
      </c>
      <c r="D553" t="s">
        <v>25</v>
      </c>
      <c r="E553" s="1">
        <v>45585</v>
      </c>
      <c r="F553" s="1">
        <v>45586</v>
      </c>
      <c r="G553" t="s">
        <v>26</v>
      </c>
      <c r="H553" t="s">
        <v>39</v>
      </c>
      <c r="I553">
        <v>5729</v>
      </c>
      <c r="J553" t="s">
        <v>34</v>
      </c>
      <c r="K553" t="s">
        <v>35</v>
      </c>
      <c r="L553" t="s">
        <v>36</v>
      </c>
      <c r="M553" t="s">
        <v>22</v>
      </c>
      <c r="N553">
        <v>1</v>
      </c>
      <c r="O553" t="str">
        <f t="shared" si="8"/>
        <v>Normal</v>
      </c>
    </row>
    <row r="554" spans="1:15" x14ac:dyDescent="0.3">
      <c r="A554" t="s">
        <v>1155</v>
      </c>
      <c r="B554" t="s">
        <v>1156</v>
      </c>
      <c r="C554">
        <v>16</v>
      </c>
      <c r="D554" t="s">
        <v>25</v>
      </c>
      <c r="E554" s="1">
        <v>45568</v>
      </c>
      <c r="F554" s="1">
        <v>45578</v>
      </c>
      <c r="G554" t="s">
        <v>43</v>
      </c>
      <c r="H554" t="s">
        <v>18</v>
      </c>
      <c r="I554">
        <v>7146</v>
      </c>
      <c r="J554" t="s">
        <v>34</v>
      </c>
      <c r="K554" t="s">
        <v>35</v>
      </c>
      <c r="L554" t="s">
        <v>45</v>
      </c>
      <c r="M554" t="s">
        <v>22</v>
      </c>
      <c r="N554">
        <v>10</v>
      </c>
      <c r="O554" t="str">
        <f t="shared" si="8"/>
        <v>Extended</v>
      </c>
    </row>
    <row r="555" spans="1:15" x14ac:dyDescent="0.3">
      <c r="A555" t="s">
        <v>1157</v>
      </c>
      <c r="B555" t="s">
        <v>1158</v>
      </c>
      <c r="C555">
        <v>80</v>
      </c>
      <c r="D555" t="s">
        <v>16</v>
      </c>
      <c r="E555" s="1">
        <v>45759</v>
      </c>
      <c r="F555" s="1">
        <v>45761</v>
      </c>
      <c r="G555" t="s">
        <v>17</v>
      </c>
      <c r="H555" t="s">
        <v>33</v>
      </c>
      <c r="I555">
        <v>6837</v>
      </c>
      <c r="J555" t="s">
        <v>19</v>
      </c>
      <c r="K555" t="s">
        <v>40</v>
      </c>
      <c r="L555" t="s">
        <v>78</v>
      </c>
      <c r="M555" t="s">
        <v>29</v>
      </c>
      <c r="N555">
        <v>2</v>
      </c>
      <c r="O555" t="str">
        <f t="shared" si="8"/>
        <v>Normal</v>
      </c>
    </row>
    <row r="556" spans="1:15" x14ac:dyDescent="0.3">
      <c r="A556" t="s">
        <v>1159</v>
      </c>
      <c r="B556" t="s">
        <v>1160</v>
      </c>
      <c r="C556">
        <v>88</v>
      </c>
      <c r="D556" t="s">
        <v>16</v>
      </c>
      <c r="E556" s="1">
        <v>45788</v>
      </c>
      <c r="F556" s="1">
        <v>45795</v>
      </c>
      <c r="G556" t="s">
        <v>32</v>
      </c>
      <c r="H556" t="s">
        <v>33</v>
      </c>
      <c r="I556">
        <v>2585</v>
      </c>
      <c r="J556" t="s">
        <v>19</v>
      </c>
      <c r="K556" t="s">
        <v>44</v>
      </c>
      <c r="L556" t="s">
        <v>45</v>
      </c>
      <c r="M556" t="s">
        <v>29</v>
      </c>
      <c r="N556">
        <v>7</v>
      </c>
      <c r="O556" t="str">
        <f t="shared" si="8"/>
        <v>Extended</v>
      </c>
    </row>
    <row r="557" spans="1:15" x14ac:dyDescent="0.3">
      <c r="A557" t="s">
        <v>1161</v>
      </c>
      <c r="B557" t="s">
        <v>1162</v>
      </c>
      <c r="C557">
        <v>54</v>
      </c>
      <c r="D557" t="s">
        <v>16</v>
      </c>
      <c r="E557" s="1">
        <v>45631</v>
      </c>
      <c r="F557" s="1">
        <v>45635</v>
      </c>
      <c r="G557" t="s">
        <v>62</v>
      </c>
      <c r="H557" t="s">
        <v>27</v>
      </c>
      <c r="I557">
        <v>7521</v>
      </c>
      <c r="J557" t="s">
        <v>19</v>
      </c>
      <c r="K557" t="s">
        <v>35</v>
      </c>
      <c r="L557" t="s">
        <v>36</v>
      </c>
      <c r="M557" t="s">
        <v>29</v>
      </c>
      <c r="N557">
        <v>4</v>
      </c>
      <c r="O557" t="str">
        <f t="shared" si="8"/>
        <v>Extended</v>
      </c>
    </row>
    <row r="558" spans="1:15" x14ac:dyDescent="0.3">
      <c r="A558" t="s">
        <v>1163</v>
      </c>
      <c r="B558" t="s">
        <v>1164</v>
      </c>
      <c r="C558">
        <v>48</v>
      </c>
      <c r="D558" t="s">
        <v>16</v>
      </c>
      <c r="E558" s="1">
        <v>45531</v>
      </c>
      <c r="F558" s="1">
        <v>45539</v>
      </c>
      <c r="G558" t="s">
        <v>66</v>
      </c>
      <c r="H558" t="s">
        <v>18</v>
      </c>
      <c r="I558">
        <v>6114</v>
      </c>
      <c r="J558" t="s">
        <v>34</v>
      </c>
      <c r="K558" t="s">
        <v>49</v>
      </c>
      <c r="L558" t="s">
        <v>28</v>
      </c>
      <c r="M558" t="s">
        <v>50</v>
      </c>
      <c r="N558">
        <v>8</v>
      </c>
      <c r="O558" t="str">
        <f t="shared" si="8"/>
        <v>Extended</v>
      </c>
    </row>
    <row r="559" spans="1:15" x14ac:dyDescent="0.3">
      <c r="A559" t="s">
        <v>1165</v>
      </c>
      <c r="B559" t="s">
        <v>1166</v>
      </c>
      <c r="C559">
        <v>46</v>
      </c>
      <c r="D559" t="s">
        <v>25</v>
      </c>
      <c r="E559" s="1">
        <v>45751</v>
      </c>
      <c r="F559" s="1">
        <v>45759</v>
      </c>
      <c r="G559" t="s">
        <v>94</v>
      </c>
      <c r="H559" t="s">
        <v>48</v>
      </c>
      <c r="I559">
        <v>3964</v>
      </c>
      <c r="J559" t="s">
        <v>19</v>
      </c>
      <c r="K559" t="s">
        <v>40</v>
      </c>
      <c r="L559" t="s">
        <v>55</v>
      </c>
      <c r="M559" t="s">
        <v>29</v>
      </c>
      <c r="N559">
        <v>8</v>
      </c>
      <c r="O559" t="str">
        <f t="shared" si="8"/>
        <v>Extended</v>
      </c>
    </row>
    <row r="560" spans="1:15" x14ac:dyDescent="0.3">
      <c r="A560" t="s">
        <v>1167</v>
      </c>
      <c r="B560" t="s">
        <v>1168</v>
      </c>
      <c r="C560">
        <v>42</v>
      </c>
      <c r="D560" t="s">
        <v>16</v>
      </c>
      <c r="E560" s="1">
        <v>45617</v>
      </c>
      <c r="F560" s="1">
        <v>45621</v>
      </c>
      <c r="G560" t="s">
        <v>17</v>
      </c>
      <c r="H560" t="s">
        <v>18</v>
      </c>
      <c r="I560">
        <v>2134</v>
      </c>
      <c r="J560" t="s">
        <v>34</v>
      </c>
      <c r="K560" t="s">
        <v>35</v>
      </c>
      <c r="L560" t="s">
        <v>28</v>
      </c>
      <c r="M560" t="s">
        <v>29</v>
      </c>
      <c r="N560">
        <v>4</v>
      </c>
      <c r="O560" t="str">
        <f t="shared" si="8"/>
        <v>Extended</v>
      </c>
    </row>
    <row r="561" spans="1:15" x14ac:dyDescent="0.3">
      <c r="A561" t="s">
        <v>1169</v>
      </c>
      <c r="B561" t="s">
        <v>1170</v>
      </c>
      <c r="C561">
        <v>12</v>
      </c>
      <c r="D561" t="s">
        <v>16</v>
      </c>
      <c r="E561" s="1">
        <v>45529</v>
      </c>
      <c r="F561" s="1">
        <v>45543</v>
      </c>
      <c r="G561" t="s">
        <v>26</v>
      </c>
      <c r="H561" t="s">
        <v>48</v>
      </c>
      <c r="I561">
        <v>2399</v>
      </c>
      <c r="J561" t="s">
        <v>34</v>
      </c>
      <c r="K561" t="s">
        <v>40</v>
      </c>
      <c r="L561" t="s">
        <v>45</v>
      </c>
      <c r="M561" t="s">
        <v>50</v>
      </c>
      <c r="N561">
        <v>14</v>
      </c>
      <c r="O561" t="str">
        <f t="shared" si="8"/>
        <v>Extended</v>
      </c>
    </row>
    <row r="562" spans="1:15" x14ac:dyDescent="0.3">
      <c r="A562" t="s">
        <v>1171</v>
      </c>
      <c r="B562" t="s">
        <v>1172</v>
      </c>
      <c r="C562">
        <v>56</v>
      </c>
      <c r="D562" t="s">
        <v>25</v>
      </c>
      <c r="E562" s="1">
        <v>45541</v>
      </c>
      <c r="F562" s="1">
        <v>45553</v>
      </c>
      <c r="G562" t="s">
        <v>62</v>
      </c>
      <c r="H562" t="s">
        <v>27</v>
      </c>
      <c r="I562">
        <v>4974</v>
      </c>
      <c r="J562" t="s">
        <v>19</v>
      </c>
      <c r="K562" t="s">
        <v>20</v>
      </c>
      <c r="L562" t="s">
        <v>55</v>
      </c>
      <c r="M562" t="s">
        <v>50</v>
      </c>
      <c r="N562">
        <v>12</v>
      </c>
      <c r="O562" t="str">
        <f t="shared" si="8"/>
        <v>Extended</v>
      </c>
    </row>
    <row r="563" spans="1:15" x14ac:dyDescent="0.3">
      <c r="A563" t="s">
        <v>1173</v>
      </c>
      <c r="B563" t="s">
        <v>1174</v>
      </c>
      <c r="C563">
        <v>54</v>
      </c>
      <c r="D563" t="s">
        <v>25</v>
      </c>
      <c r="E563" s="1">
        <v>45602</v>
      </c>
      <c r="F563" s="1">
        <v>45605</v>
      </c>
      <c r="G563" t="s">
        <v>26</v>
      </c>
      <c r="H563" t="s">
        <v>39</v>
      </c>
      <c r="I563">
        <v>8501</v>
      </c>
      <c r="J563" t="s">
        <v>34</v>
      </c>
      <c r="K563" t="s">
        <v>133</v>
      </c>
      <c r="L563" t="s">
        <v>36</v>
      </c>
      <c r="M563" t="s">
        <v>29</v>
      </c>
      <c r="N563">
        <v>3</v>
      </c>
      <c r="O563" t="str">
        <f t="shared" si="8"/>
        <v>Normal</v>
      </c>
    </row>
    <row r="564" spans="1:15" x14ac:dyDescent="0.3">
      <c r="A564" t="s">
        <v>1175</v>
      </c>
      <c r="B564" t="s">
        <v>1176</v>
      </c>
      <c r="C564">
        <v>52</v>
      </c>
      <c r="D564" t="s">
        <v>25</v>
      </c>
      <c r="E564" s="1">
        <v>45459</v>
      </c>
      <c r="F564" s="1">
        <v>45472</v>
      </c>
      <c r="G564" t="s">
        <v>66</v>
      </c>
      <c r="H564" t="s">
        <v>39</v>
      </c>
      <c r="I564">
        <v>1757</v>
      </c>
      <c r="J564" t="s">
        <v>19</v>
      </c>
      <c r="K564" t="s">
        <v>44</v>
      </c>
      <c r="L564" t="s">
        <v>28</v>
      </c>
      <c r="M564" t="s">
        <v>22</v>
      </c>
      <c r="N564">
        <v>13</v>
      </c>
      <c r="O564" t="str">
        <f t="shared" si="8"/>
        <v>Extended</v>
      </c>
    </row>
    <row r="565" spans="1:15" x14ac:dyDescent="0.3">
      <c r="A565" t="s">
        <v>1177</v>
      </c>
      <c r="B565" t="s">
        <v>1178</v>
      </c>
      <c r="C565">
        <v>54</v>
      </c>
      <c r="D565" t="s">
        <v>16</v>
      </c>
      <c r="E565" s="1">
        <v>45641</v>
      </c>
      <c r="F565" s="1">
        <v>45654</v>
      </c>
      <c r="G565" t="s">
        <v>26</v>
      </c>
      <c r="H565" t="s">
        <v>89</v>
      </c>
      <c r="I565">
        <v>6850</v>
      </c>
      <c r="J565" t="s">
        <v>19</v>
      </c>
      <c r="K565" t="s">
        <v>44</v>
      </c>
      <c r="L565" t="s">
        <v>55</v>
      </c>
      <c r="M565" t="s">
        <v>22</v>
      </c>
      <c r="N565">
        <v>13</v>
      </c>
      <c r="O565" t="str">
        <f t="shared" si="8"/>
        <v>Extended</v>
      </c>
    </row>
    <row r="566" spans="1:15" x14ac:dyDescent="0.3">
      <c r="A566" t="s">
        <v>1179</v>
      </c>
      <c r="B566" t="s">
        <v>1180</v>
      </c>
      <c r="C566">
        <v>80</v>
      </c>
      <c r="D566" t="s">
        <v>16</v>
      </c>
      <c r="E566" s="1">
        <v>45658</v>
      </c>
      <c r="F566" s="1">
        <v>45668</v>
      </c>
      <c r="G566" t="s">
        <v>94</v>
      </c>
      <c r="H566" t="s">
        <v>48</v>
      </c>
      <c r="I566">
        <v>9864</v>
      </c>
      <c r="J566" t="s">
        <v>19</v>
      </c>
      <c r="K566" t="s">
        <v>20</v>
      </c>
      <c r="L566" t="s">
        <v>55</v>
      </c>
      <c r="M566" t="s">
        <v>50</v>
      </c>
      <c r="N566">
        <v>10</v>
      </c>
      <c r="O566" t="str">
        <f t="shared" si="8"/>
        <v>Extended</v>
      </c>
    </row>
    <row r="567" spans="1:15" x14ac:dyDescent="0.3">
      <c r="A567" t="s">
        <v>1181</v>
      </c>
      <c r="B567" t="s">
        <v>1182</v>
      </c>
      <c r="C567">
        <v>64</v>
      </c>
      <c r="D567" t="s">
        <v>25</v>
      </c>
      <c r="E567" s="1">
        <v>45626</v>
      </c>
      <c r="F567" s="1">
        <v>45631</v>
      </c>
      <c r="G567" t="s">
        <v>66</v>
      </c>
      <c r="H567" t="s">
        <v>18</v>
      </c>
      <c r="I567">
        <v>4337</v>
      </c>
      <c r="J567" t="s">
        <v>34</v>
      </c>
      <c r="K567" t="s">
        <v>40</v>
      </c>
      <c r="L567" t="s">
        <v>21</v>
      </c>
      <c r="M567" t="s">
        <v>22</v>
      </c>
      <c r="N567">
        <v>5</v>
      </c>
      <c r="O567" t="str">
        <f t="shared" si="8"/>
        <v>Extended</v>
      </c>
    </row>
    <row r="568" spans="1:15" x14ac:dyDescent="0.3">
      <c r="A568" t="s">
        <v>1183</v>
      </c>
      <c r="B568" t="s">
        <v>1184</v>
      </c>
      <c r="C568">
        <v>74</v>
      </c>
      <c r="D568" t="s">
        <v>25</v>
      </c>
      <c r="E568" s="1">
        <v>45482</v>
      </c>
      <c r="F568" s="1">
        <v>45483</v>
      </c>
      <c r="G568" t="s">
        <v>66</v>
      </c>
      <c r="H568" t="s">
        <v>39</v>
      </c>
      <c r="I568">
        <v>8471</v>
      </c>
      <c r="J568" t="s">
        <v>34</v>
      </c>
      <c r="K568" t="s">
        <v>54</v>
      </c>
      <c r="L568" t="s">
        <v>45</v>
      </c>
      <c r="M568" t="s">
        <v>50</v>
      </c>
      <c r="N568">
        <v>1</v>
      </c>
      <c r="O568" t="str">
        <f t="shared" si="8"/>
        <v>Normal</v>
      </c>
    </row>
    <row r="569" spans="1:15" x14ac:dyDescent="0.3">
      <c r="A569" t="s">
        <v>1185</v>
      </c>
      <c r="B569" t="s">
        <v>1186</v>
      </c>
      <c r="C569">
        <v>43</v>
      </c>
      <c r="D569" t="s">
        <v>16</v>
      </c>
      <c r="E569" s="1">
        <v>45564</v>
      </c>
      <c r="F569" s="1">
        <v>45567</v>
      </c>
      <c r="G569" t="s">
        <v>32</v>
      </c>
      <c r="H569" t="s">
        <v>33</v>
      </c>
      <c r="I569">
        <v>7705</v>
      </c>
      <c r="J569" t="s">
        <v>19</v>
      </c>
      <c r="K569" t="s">
        <v>133</v>
      </c>
      <c r="L569" t="s">
        <v>78</v>
      </c>
      <c r="M569" t="s">
        <v>50</v>
      </c>
      <c r="N569">
        <v>3</v>
      </c>
      <c r="O569" t="str">
        <f t="shared" si="8"/>
        <v>Normal</v>
      </c>
    </row>
    <row r="570" spans="1:15" x14ac:dyDescent="0.3">
      <c r="A570" t="s">
        <v>1187</v>
      </c>
      <c r="B570" t="s">
        <v>1188</v>
      </c>
      <c r="C570">
        <v>29</v>
      </c>
      <c r="D570" t="s">
        <v>16</v>
      </c>
      <c r="E570" s="1">
        <v>45741</v>
      </c>
      <c r="F570" s="1">
        <v>45750</v>
      </c>
      <c r="G570" t="s">
        <v>26</v>
      </c>
      <c r="H570" t="s">
        <v>53</v>
      </c>
      <c r="I570">
        <v>5066</v>
      </c>
      <c r="J570" t="s">
        <v>19</v>
      </c>
      <c r="K570" t="s">
        <v>20</v>
      </c>
      <c r="L570" t="s">
        <v>55</v>
      </c>
      <c r="M570" t="s">
        <v>50</v>
      </c>
      <c r="N570">
        <v>9</v>
      </c>
      <c r="O570" t="str">
        <f t="shared" si="8"/>
        <v>Extended</v>
      </c>
    </row>
    <row r="571" spans="1:15" x14ac:dyDescent="0.3">
      <c r="A571" t="s">
        <v>1189</v>
      </c>
      <c r="B571" t="s">
        <v>1190</v>
      </c>
      <c r="C571">
        <v>8</v>
      </c>
      <c r="D571" t="s">
        <v>16</v>
      </c>
      <c r="E571" s="1">
        <v>45717</v>
      </c>
      <c r="F571" s="1">
        <v>45726</v>
      </c>
      <c r="G571" t="s">
        <v>26</v>
      </c>
      <c r="H571" t="s">
        <v>53</v>
      </c>
      <c r="I571">
        <v>4962</v>
      </c>
      <c r="J571" t="s">
        <v>19</v>
      </c>
      <c r="K571" t="s">
        <v>44</v>
      </c>
      <c r="L571" t="s">
        <v>55</v>
      </c>
      <c r="M571" t="s">
        <v>29</v>
      </c>
      <c r="N571">
        <v>9</v>
      </c>
      <c r="O571" t="str">
        <f t="shared" si="8"/>
        <v>Extended</v>
      </c>
    </row>
    <row r="572" spans="1:15" x14ac:dyDescent="0.3">
      <c r="A572" t="s">
        <v>1191</v>
      </c>
      <c r="B572" t="s">
        <v>957</v>
      </c>
      <c r="C572">
        <v>69</v>
      </c>
      <c r="D572" t="s">
        <v>16</v>
      </c>
      <c r="E572" s="1">
        <v>45684</v>
      </c>
      <c r="F572" s="1">
        <v>45698</v>
      </c>
      <c r="G572" t="s">
        <v>32</v>
      </c>
      <c r="H572" t="s">
        <v>73</v>
      </c>
      <c r="I572">
        <v>2426</v>
      </c>
      <c r="J572" t="s">
        <v>19</v>
      </c>
      <c r="K572" t="s">
        <v>54</v>
      </c>
      <c r="L572" t="s">
        <v>21</v>
      </c>
      <c r="M572" t="s">
        <v>50</v>
      </c>
      <c r="N572">
        <v>14</v>
      </c>
      <c r="O572" t="str">
        <f t="shared" si="8"/>
        <v>Extended</v>
      </c>
    </row>
    <row r="573" spans="1:15" x14ac:dyDescent="0.3">
      <c r="A573" t="s">
        <v>1192</v>
      </c>
      <c r="B573" t="s">
        <v>1193</v>
      </c>
      <c r="C573">
        <v>17</v>
      </c>
      <c r="D573" t="s">
        <v>25</v>
      </c>
      <c r="E573" s="1">
        <v>45555</v>
      </c>
      <c r="F573" s="1">
        <v>45556</v>
      </c>
      <c r="G573" t="s">
        <v>17</v>
      </c>
      <c r="H573" t="s">
        <v>53</v>
      </c>
      <c r="I573">
        <v>5243</v>
      </c>
      <c r="J573" t="s">
        <v>19</v>
      </c>
      <c r="K573" t="s">
        <v>54</v>
      </c>
      <c r="L573" t="s">
        <v>36</v>
      </c>
      <c r="M573" t="s">
        <v>29</v>
      </c>
      <c r="N573">
        <v>1</v>
      </c>
      <c r="O573" t="str">
        <f t="shared" si="8"/>
        <v>Normal</v>
      </c>
    </row>
    <row r="574" spans="1:15" x14ac:dyDescent="0.3">
      <c r="A574" t="s">
        <v>1194</v>
      </c>
      <c r="B574" t="s">
        <v>1195</v>
      </c>
      <c r="C574">
        <v>58</v>
      </c>
      <c r="D574" t="s">
        <v>16</v>
      </c>
      <c r="E574" s="1">
        <v>45480</v>
      </c>
      <c r="F574" s="1">
        <v>45490</v>
      </c>
      <c r="G574" t="s">
        <v>66</v>
      </c>
      <c r="H574" t="s">
        <v>53</v>
      </c>
      <c r="I574">
        <v>7857</v>
      </c>
      <c r="J574" t="s">
        <v>34</v>
      </c>
      <c r="K574" t="s">
        <v>133</v>
      </c>
      <c r="L574" t="s">
        <v>59</v>
      </c>
      <c r="M574" t="s">
        <v>22</v>
      </c>
      <c r="N574">
        <v>10</v>
      </c>
      <c r="O574" t="str">
        <f t="shared" si="8"/>
        <v>Extended</v>
      </c>
    </row>
    <row r="575" spans="1:15" x14ac:dyDescent="0.3">
      <c r="A575" t="s">
        <v>1196</v>
      </c>
      <c r="B575" t="s">
        <v>1197</v>
      </c>
      <c r="C575">
        <v>40</v>
      </c>
      <c r="D575" t="s">
        <v>25</v>
      </c>
      <c r="E575" s="1">
        <v>45499</v>
      </c>
      <c r="F575" s="1">
        <v>45509</v>
      </c>
      <c r="G575" t="s">
        <v>62</v>
      </c>
      <c r="H575" t="s">
        <v>89</v>
      </c>
      <c r="I575">
        <v>1633</v>
      </c>
      <c r="J575" t="s">
        <v>19</v>
      </c>
      <c r="K575" t="s">
        <v>49</v>
      </c>
      <c r="L575" t="s">
        <v>21</v>
      </c>
      <c r="M575" t="s">
        <v>50</v>
      </c>
      <c r="N575">
        <v>10</v>
      </c>
      <c r="O575" t="str">
        <f t="shared" si="8"/>
        <v>Extended</v>
      </c>
    </row>
    <row r="576" spans="1:15" x14ac:dyDescent="0.3">
      <c r="A576" t="s">
        <v>1198</v>
      </c>
      <c r="B576" t="s">
        <v>1199</v>
      </c>
      <c r="C576">
        <v>7</v>
      </c>
      <c r="D576" t="s">
        <v>25</v>
      </c>
      <c r="E576" s="1">
        <v>45457</v>
      </c>
      <c r="F576" s="1">
        <v>45471</v>
      </c>
      <c r="G576" t="s">
        <v>17</v>
      </c>
      <c r="H576" t="s">
        <v>33</v>
      </c>
      <c r="I576">
        <v>4030</v>
      </c>
      <c r="J576" t="s">
        <v>34</v>
      </c>
      <c r="K576" t="s">
        <v>49</v>
      </c>
      <c r="L576" t="s">
        <v>36</v>
      </c>
      <c r="M576" t="s">
        <v>29</v>
      </c>
      <c r="N576">
        <v>14</v>
      </c>
      <c r="O576" t="str">
        <f t="shared" si="8"/>
        <v>Extended</v>
      </c>
    </row>
    <row r="577" spans="1:15" x14ac:dyDescent="0.3">
      <c r="A577" t="s">
        <v>1200</v>
      </c>
      <c r="B577" t="s">
        <v>1201</v>
      </c>
      <c r="C577">
        <v>62</v>
      </c>
      <c r="D577" t="s">
        <v>25</v>
      </c>
      <c r="E577" s="1">
        <v>45587</v>
      </c>
      <c r="F577" s="1">
        <v>45595</v>
      </c>
      <c r="G577" t="s">
        <v>62</v>
      </c>
      <c r="H577" t="s">
        <v>18</v>
      </c>
      <c r="I577">
        <v>5229</v>
      </c>
      <c r="J577" t="s">
        <v>34</v>
      </c>
      <c r="K577" t="s">
        <v>35</v>
      </c>
      <c r="L577" t="s">
        <v>59</v>
      </c>
      <c r="M577" t="s">
        <v>29</v>
      </c>
      <c r="N577">
        <v>8</v>
      </c>
      <c r="O577" t="str">
        <f t="shared" si="8"/>
        <v>Extended</v>
      </c>
    </row>
    <row r="578" spans="1:15" x14ac:dyDescent="0.3">
      <c r="A578" t="s">
        <v>1202</v>
      </c>
      <c r="B578" t="s">
        <v>1203</v>
      </c>
      <c r="C578">
        <v>7</v>
      </c>
      <c r="D578" t="s">
        <v>25</v>
      </c>
      <c r="E578" s="1">
        <v>45754</v>
      </c>
      <c r="F578" s="1">
        <v>45762</v>
      </c>
      <c r="G578" t="s">
        <v>26</v>
      </c>
      <c r="H578" t="s">
        <v>39</v>
      </c>
      <c r="I578">
        <v>2235</v>
      </c>
      <c r="J578" t="s">
        <v>19</v>
      </c>
      <c r="K578" t="s">
        <v>133</v>
      </c>
      <c r="L578" t="s">
        <v>36</v>
      </c>
      <c r="M578" t="s">
        <v>50</v>
      </c>
      <c r="N578">
        <v>8</v>
      </c>
      <c r="O578" t="str">
        <f t="shared" si="8"/>
        <v>Extended</v>
      </c>
    </row>
    <row r="579" spans="1:15" x14ac:dyDescent="0.3">
      <c r="A579" t="s">
        <v>1204</v>
      </c>
      <c r="B579" t="s">
        <v>1205</v>
      </c>
      <c r="C579">
        <v>64</v>
      </c>
      <c r="D579" t="s">
        <v>25</v>
      </c>
      <c r="E579" s="1">
        <v>45489</v>
      </c>
      <c r="F579" s="1">
        <v>45491</v>
      </c>
      <c r="G579" t="s">
        <v>26</v>
      </c>
      <c r="H579" t="s">
        <v>53</v>
      </c>
      <c r="I579">
        <v>1682</v>
      </c>
      <c r="J579" t="s">
        <v>19</v>
      </c>
      <c r="K579" t="s">
        <v>44</v>
      </c>
      <c r="L579" t="s">
        <v>36</v>
      </c>
      <c r="M579" t="s">
        <v>22</v>
      </c>
      <c r="N579">
        <v>2</v>
      </c>
      <c r="O579" t="str">
        <f t="shared" ref="O579:O642" si="9">IF(N579&gt;3,"Extended","Normal")</f>
        <v>Normal</v>
      </c>
    </row>
    <row r="580" spans="1:15" x14ac:dyDescent="0.3">
      <c r="A580" t="s">
        <v>1206</v>
      </c>
      <c r="B580" t="s">
        <v>1207</v>
      </c>
      <c r="C580">
        <v>55</v>
      </c>
      <c r="D580" t="s">
        <v>16</v>
      </c>
      <c r="E580" s="1">
        <v>45516</v>
      </c>
      <c r="F580" s="1">
        <v>45525</v>
      </c>
      <c r="G580" t="s">
        <v>32</v>
      </c>
      <c r="H580" t="s">
        <v>39</v>
      </c>
      <c r="I580">
        <v>5251</v>
      </c>
      <c r="J580" t="s">
        <v>34</v>
      </c>
      <c r="K580" t="s">
        <v>49</v>
      </c>
      <c r="L580" t="s">
        <v>36</v>
      </c>
      <c r="M580" t="s">
        <v>29</v>
      </c>
      <c r="N580">
        <v>9</v>
      </c>
      <c r="O580" t="str">
        <f t="shared" si="9"/>
        <v>Extended</v>
      </c>
    </row>
    <row r="581" spans="1:15" x14ac:dyDescent="0.3">
      <c r="A581" t="s">
        <v>1208</v>
      </c>
      <c r="B581" t="s">
        <v>1209</v>
      </c>
      <c r="C581">
        <v>69</v>
      </c>
      <c r="D581" t="s">
        <v>25</v>
      </c>
      <c r="E581" s="1">
        <v>45629</v>
      </c>
      <c r="F581" s="1">
        <v>45640</v>
      </c>
      <c r="G581" t="s">
        <v>43</v>
      </c>
      <c r="H581" t="s">
        <v>33</v>
      </c>
      <c r="I581">
        <v>5222</v>
      </c>
      <c r="J581" t="s">
        <v>19</v>
      </c>
      <c r="K581" t="s">
        <v>54</v>
      </c>
      <c r="L581" t="s">
        <v>28</v>
      </c>
      <c r="M581" t="s">
        <v>22</v>
      </c>
      <c r="N581">
        <v>11</v>
      </c>
      <c r="O581" t="str">
        <f t="shared" si="9"/>
        <v>Extended</v>
      </c>
    </row>
    <row r="582" spans="1:15" x14ac:dyDescent="0.3">
      <c r="A582" t="s">
        <v>1210</v>
      </c>
      <c r="B582" t="s">
        <v>1211</v>
      </c>
      <c r="C582">
        <v>86</v>
      </c>
      <c r="D582" t="s">
        <v>25</v>
      </c>
      <c r="E582" s="1">
        <v>45736</v>
      </c>
      <c r="F582" s="1">
        <v>45744</v>
      </c>
      <c r="G582" t="s">
        <v>62</v>
      </c>
      <c r="H582" t="s">
        <v>18</v>
      </c>
      <c r="I582">
        <v>8258</v>
      </c>
      <c r="J582" t="s">
        <v>34</v>
      </c>
      <c r="K582" t="s">
        <v>54</v>
      </c>
      <c r="L582" t="s">
        <v>78</v>
      </c>
      <c r="M582" t="s">
        <v>50</v>
      </c>
      <c r="N582">
        <v>8</v>
      </c>
      <c r="O582" t="str">
        <f t="shared" si="9"/>
        <v>Extended</v>
      </c>
    </row>
    <row r="583" spans="1:15" x14ac:dyDescent="0.3">
      <c r="A583" t="s">
        <v>1212</v>
      </c>
      <c r="B583" t="s">
        <v>1213</v>
      </c>
      <c r="C583">
        <v>81</v>
      </c>
      <c r="D583" t="s">
        <v>16</v>
      </c>
      <c r="E583" s="1">
        <v>45765</v>
      </c>
      <c r="F583" s="1">
        <v>45771</v>
      </c>
      <c r="G583" t="s">
        <v>66</v>
      </c>
      <c r="H583" t="s">
        <v>73</v>
      </c>
      <c r="I583">
        <v>6170</v>
      </c>
      <c r="J583" t="s">
        <v>34</v>
      </c>
      <c r="K583" t="s">
        <v>44</v>
      </c>
      <c r="L583" t="s">
        <v>21</v>
      </c>
      <c r="M583" t="s">
        <v>50</v>
      </c>
      <c r="N583">
        <v>6</v>
      </c>
      <c r="O583" t="str">
        <f t="shared" si="9"/>
        <v>Extended</v>
      </c>
    </row>
    <row r="584" spans="1:15" x14ac:dyDescent="0.3">
      <c r="A584" t="s">
        <v>1214</v>
      </c>
      <c r="B584" t="s">
        <v>1215</v>
      </c>
      <c r="C584">
        <v>78</v>
      </c>
      <c r="D584" t="s">
        <v>16</v>
      </c>
      <c r="E584" s="1">
        <v>45713</v>
      </c>
      <c r="F584" s="1">
        <v>45716</v>
      </c>
      <c r="G584" t="s">
        <v>17</v>
      </c>
      <c r="H584" t="s">
        <v>53</v>
      </c>
      <c r="I584">
        <v>4635</v>
      </c>
      <c r="J584" t="s">
        <v>34</v>
      </c>
      <c r="K584" t="s">
        <v>54</v>
      </c>
      <c r="L584" t="s">
        <v>78</v>
      </c>
      <c r="M584" t="s">
        <v>22</v>
      </c>
      <c r="N584">
        <v>3</v>
      </c>
      <c r="O584" t="str">
        <f t="shared" si="9"/>
        <v>Normal</v>
      </c>
    </row>
    <row r="585" spans="1:15" x14ac:dyDescent="0.3">
      <c r="A585" t="s">
        <v>1216</v>
      </c>
      <c r="B585" t="s">
        <v>1078</v>
      </c>
      <c r="C585">
        <v>42</v>
      </c>
      <c r="D585" t="s">
        <v>25</v>
      </c>
      <c r="E585" s="1">
        <v>45493</v>
      </c>
      <c r="F585" s="1">
        <v>45506</v>
      </c>
      <c r="G585" t="s">
        <v>62</v>
      </c>
      <c r="H585" t="s">
        <v>89</v>
      </c>
      <c r="I585">
        <v>7591</v>
      </c>
      <c r="J585" t="s">
        <v>19</v>
      </c>
      <c r="K585" t="s">
        <v>54</v>
      </c>
      <c r="L585" t="s">
        <v>59</v>
      </c>
      <c r="M585" t="s">
        <v>29</v>
      </c>
      <c r="N585">
        <v>13</v>
      </c>
      <c r="O585" t="str">
        <f t="shared" si="9"/>
        <v>Extended</v>
      </c>
    </row>
    <row r="586" spans="1:15" x14ac:dyDescent="0.3">
      <c r="A586" t="s">
        <v>1217</v>
      </c>
      <c r="B586" t="s">
        <v>1218</v>
      </c>
      <c r="C586">
        <v>24</v>
      </c>
      <c r="D586" t="s">
        <v>25</v>
      </c>
      <c r="E586" s="1">
        <v>45534</v>
      </c>
      <c r="F586" s="1">
        <v>45542</v>
      </c>
      <c r="G586" t="s">
        <v>32</v>
      </c>
      <c r="H586" t="s">
        <v>53</v>
      </c>
      <c r="I586">
        <v>3664</v>
      </c>
      <c r="J586" t="s">
        <v>34</v>
      </c>
      <c r="K586" t="s">
        <v>44</v>
      </c>
      <c r="L586" t="s">
        <v>59</v>
      </c>
      <c r="M586" t="s">
        <v>22</v>
      </c>
      <c r="N586">
        <v>8</v>
      </c>
      <c r="O586" t="str">
        <f t="shared" si="9"/>
        <v>Extended</v>
      </c>
    </row>
    <row r="587" spans="1:15" x14ac:dyDescent="0.3">
      <c r="A587" t="s">
        <v>1219</v>
      </c>
      <c r="B587" t="s">
        <v>1220</v>
      </c>
      <c r="C587">
        <v>12</v>
      </c>
      <c r="D587" t="s">
        <v>16</v>
      </c>
      <c r="E587" s="1">
        <v>45689</v>
      </c>
      <c r="F587" s="1">
        <v>45699</v>
      </c>
      <c r="G587" t="s">
        <v>43</v>
      </c>
      <c r="H587" t="s">
        <v>89</v>
      </c>
      <c r="I587">
        <v>7574</v>
      </c>
      <c r="J587" t="s">
        <v>34</v>
      </c>
      <c r="K587" t="s">
        <v>35</v>
      </c>
      <c r="L587" t="s">
        <v>36</v>
      </c>
      <c r="M587" t="s">
        <v>22</v>
      </c>
      <c r="N587">
        <v>10</v>
      </c>
      <c r="O587" t="str">
        <f t="shared" si="9"/>
        <v>Extended</v>
      </c>
    </row>
    <row r="588" spans="1:15" x14ac:dyDescent="0.3">
      <c r="A588" t="s">
        <v>1221</v>
      </c>
      <c r="B588" t="s">
        <v>1222</v>
      </c>
      <c r="C588">
        <v>36</v>
      </c>
      <c r="D588" t="s">
        <v>16</v>
      </c>
      <c r="E588" s="1">
        <v>45446</v>
      </c>
      <c r="F588" s="1">
        <v>45453</v>
      </c>
      <c r="G588" t="s">
        <v>94</v>
      </c>
      <c r="H588" t="s">
        <v>48</v>
      </c>
      <c r="I588">
        <v>9254</v>
      </c>
      <c r="J588" t="s">
        <v>19</v>
      </c>
      <c r="K588" t="s">
        <v>40</v>
      </c>
      <c r="L588" t="s">
        <v>55</v>
      </c>
      <c r="M588" t="s">
        <v>50</v>
      </c>
      <c r="N588">
        <v>7</v>
      </c>
      <c r="O588" t="str">
        <f t="shared" si="9"/>
        <v>Extended</v>
      </c>
    </row>
    <row r="589" spans="1:15" x14ac:dyDescent="0.3">
      <c r="A589" t="s">
        <v>1223</v>
      </c>
      <c r="B589" t="s">
        <v>1224</v>
      </c>
      <c r="C589">
        <v>43</v>
      </c>
      <c r="D589" t="s">
        <v>25</v>
      </c>
      <c r="E589" s="1">
        <v>45460</v>
      </c>
      <c r="F589" s="1">
        <v>45467</v>
      </c>
      <c r="G589" t="s">
        <v>62</v>
      </c>
      <c r="H589" t="s">
        <v>18</v>
      </c>
      <c r="I589">
        <v>7430</v>
      </c>
      <c r="J589" t="s">
        <v>34</v>
      </c>
      <c r="K589" t="s">
        <v>133</v>
      </c>
      <c r="L589" t="s">
        <v>36</v>
      </c>
      <c r="M589" t="s">
        <v>22</v>
      </c>
      <c r="N589">
        <v>7</v>
      </c>
      <c r="O589" t="str">
        <f t="shared" si="9"/>
        <v>Extended</v>
      </c>
    </row>
    <row r="590" spans="1:15" x14ac:dyDescent="0.3">
      <c r="A590" t="s">
        <v>1225</v>
      </c>
      <c r="B590" t="s">
        <v>1226</v>
      </c>
      <c r="C590">
        <v>82</v>
      </c>
      <c r="D590" t="s">
        <v>16</v>
      </c>
      <c r="E590" s="1">
        <v>45621</v>
      </c>
      <c r="F590" s="1">
        <v>45626</v>
      </c>
      <c r="G590" t="s">
        <v>94</v>
      </c>
      <c r="H590" t="s">
        <v>27</v>
      </c>
      <c r="I590">
        <v>4381</v>
      </c>
      <c r="J590" t="s">
        <v>34</v>
      </c>
      <c r="K590" t="s">
        <v>49</v>
      </c>
      <c r="L590" t="s">
        <v>78</v>
      </c>
      <c r="M590" t="s">
        <v>50</v>
      </c>
      <c r="N590">
        <v>5</v>
      </c>
      <c r="O590" t="str">
        <f t="shared" si="9"/>
        <v>Extended</v>
      </c>
    </row>
    <row r="591" spans="1:15" x14ac:dyDescent="0.3">
      <c r="A591" t="s">
        <v>1227</v>
      </c>
      <c r="B591" t="s">
        <v>1228</v>
      </c>
      <c r="C591">
        <v>4</v>
      </c>
      <c r="D591" t="s">
        <v>25</v>
      </c>
      <c r="E591" s="1">
        <v>45592</v>
      </c>
      <c r="F591" s="1">
        <v>45606</v>
      </c>
      <c r="G591" t="s">
        <v>94</v>
      </c>
      <c r="H591" t="s">
        <v>73</v>
      </c>
      <c r="I591">
        <v>5869</v>
      </c>
      <c r="J591" t="s">
        <v>19</v>
      </c>
      <c r="K591" t="s">
        <v>44</v>
      </c>
      <c r="L591" t="s">
        <v>55</v>
      </c>
      <c r="M591" t="s">
        <v>50</v>
      </c>
      <c r="N591">
        <v>14</v>
      </c>
      <c r="O591" t="str">
        <f t="shared" si="9"/>
        <v>Extended</v>
      </c>
    </row>
    <row r="592" spans="1:15" x14ac:dyDescent="0.3">
      <c r="A592" t="s">
        <v>1229</v>
      </c>
      <c r="B592" t="s">
        <v>1230</v>
      </c>
      <c r="C592">
        <v>28</v>
      </c>
      <c r="D592" t="s">
        <v>25</v>
      </c>
      <c r="E592" s="1">
        <v>45799</v>
      </c>
      <c r="F592" s="1">
        <v>45812</v>
      </c>
      <c r="G592" t="s">
        <v>66</v>
      </c>
      <c r="H592" t="s">
        <v>48</v>
      </c>
      <c r="I592">
        <v>7126</v>
      </c>
      <c r="J592" t="s">
        <v>34</v>
      </c>
      <c r="K592" t="s">
        <v>133</v>
      </c>
      <c r="L592" t="s">
        <v>59</v>
      </c>
      <c r="M592" t="s">
        <v>29</v>
      </c>
      <c r="N592">
        <v>13</v>
      </c>
      <c r="O592" t="str">
        <f t="shared" si="9"/>
        <v>Extended</v>
      </c>
    </row>
    <row r="593" spans="1:15" x14ac:dyDescent="0.3">
      <c r="A593" t="s">
        <v>1231</v>
      </c>
      <c r="B593" t="s">
        <v>1232</v>
      </c>
      <c r="C593">
        <v>46</v>
      </c>
      <c r="D593" t="s">
        <v>25</v>
      </c>
      <c r="E593" s="1">
        <v>45725</v>
      </c>
      <c r="F593" s="1">
        <v>45734</v>
      </c>
      <c r="G593" t="s">
        <v>66</v>
      </c>
      <c r="H593" t="s">
        <v>53</v>
      </c>
      <c r="I593">
        <v>7308</v>
      </c>
      <c r="J593" t="s">
        <v>19</v>
      </c>
      <c r="K593" t="s">
        <v>40</v>
      </c>
      <c r="L593" t="s">
        <v>36</v>
      </c>
      <c r="M593" t="s">
        <v>29</v>
      </c>
      <c r="N593">
        <v>9</v>
      </c>
      <c r="O593" t="str">
        <f t="shared" si="9"/>
        <v>Extended</v>
      </c>
    </row>
    <row r="594" spans="1:15" x14ac:dyDescent="0.3">
      <c r="A594" t="s">
        <v>1233</v>
      </c>
      <c r="B594" t="s">
        <v>1234</v>
      </c>
      <c r="C594">
        <v>60</v>
      </c>
      <c r="D594" t="s">
        <v>25</v>
      </c>
      <c r="E594" s="1">
        <v>45660</v>
      </c>
      <c r="F594" s="1">
        <v>45667</v>
      </c>
      <c r="G594" t="s">
        <v>43</v>
      </c>
      <c r="H594" t="s">
        <v>89</v>
      </c>
      <c r="I594">
        <v>8164</v>
      </c>
      <c r="J594" t="s">
        <v>19</v>
      </c>
      <c r="K594" t="s">
        <v>54</v>
      </c>
      <c r="L594" t="s">
        <v>45</v>
      </c>
      <c r="M594" t="s">
        <v>22</v>
      </c>
      <c r="N594">
        <v>7</v>
      </c>
      <c r="O594" t="str">
        <f t="shared" si="9"/>
        <v>Extended</v>
      </c>
    </row>
    <row r="595" spans="1:15" x14ac:dyDescent="0.3">
      <c r="A595" t="s">
        <v>1235</v>
      </c>
      <c r="B595" t="s">
        <v>1236</v>
      </c>
      <c r="C595">
        <v>90</v>
      </c>
      <c r="D595" t="s">
        <v>25</v>
      </c>
      <c r="E595" s="1">
        <v>45484</v>
      </c>
      <c r="F595" s="1">
        <v>45498</v>
      </c>
      <c r="G595" t="s">
        <v>62</v>
      </c>
      <c r="H595" t="s">
        <v>48</v>
      </c>
      <c r="I595">
        <v>9455</v>
      </c>
      <c r="J595" t="s">
        <v>19</v>
      </c>
      <c r="K595" t="s">
        <v>20</v>
      </c>
      <c r="L595" t="s">
        <v>59</v>
      </c>
      <c r="M595" t="s">
        <v>22</v>
      </c>
      <c r="N595">
        <v>14</v>
      </c>
      <c r="O595" t="str">
        <f t="shared" si="9"/>
        <v>Extended</v>
      </c>
    </row>
    <row r="596" spans="1:15" x14ac:dyDescent="0.3">
      <c r="A596" t="s">
        <v>1237</v>
      </c>
      <c r="B596" t="s">
        <v>1238</v>
      </c>
      <c r="C596">
        <v>61</v>
      </c>
      <c r="D596" t="s">
        <v>16</v>
      </c>
      <c r="E596" s="1">
        <v>45752</v>
      </c>
      <c r="F596" s="1">
        <v>45759</v>
      </c>
      <c r="G596" t="s">
        <v>66</v>
      </c>
      <c r="H596" t="s">
        <v>18</v>
      </c>
      <c r="I596">
        <v>4302</v>
      </c>
      <c r="J596" t="s">
        <v>19</v>
      </c>
      <c r="K596" t="s">
        <v>20</v>
      </c>
      <c r="L596" t="s">
        <v>45</v>
      </c>
      <c r="M596" t="s">
        <v>29</v>
      </c>
      <c r="N596">
        <v>7</v>
      </c>
      <c r="O596" t="str">
        <f t="shared" si="9"/>
        <v>Extended</v>
      </c>
    </row>
    <row r="597" spans="1:15" x14ac:dyDescent="0.3">
      <c r="A597" t="s">
        <v>1239</v>
      </c>
      <c r="B597" t="s">
        <v>1240</v>
      </c>
      <c r="C597">
        <v>69</v>
      </c>
      <c r="D597" t="s">
        <v>25</v>
      </c>
      <c r="E597" s="1">
        <v>45569</v>
      </c>
      <c r="F597" s="1">
        <v>45577</v>
      </c>
      <c r="G597" t="s">
        <v>26</v>
      </c>
      <c r="H597" t="s">
        <v>18</v>
      </c>
      <c r="I597">
        <v>6413</v>
      </c>
      <c r="J597" t="s">
        <v>19</v>
      </c>
      <c r="K597" t="s">
        <v>35</v>
      </c>
      <c r="L597" t="s">
        <v>78</v>
      </c>
      <c r="M597" t="s">
        <v>22</v>
      </c>
      <c r="N597">
        <v>8</v>
      </c>
      <c r="O597" t="str">
        <f t="shared" si="9"/>
        <v>Extended</v>
      </c>
    </row>
    <row r="598" spans="1:15" x14ac:dyDescent="0.3">
      <c r="A598" t="s">
        <v>1241</v>
      </c>
      <c r="B598" t="s">
        <v>1242</v>
      </c>
      <c r="C598">
        <v>57</v>
      </c>
      <c r="D598" t="s">
        <v>16</v>
      </c>
      <c r="E598" s="1">
        <v>45491</v>
      </c>
      <c r="F598" s="1">
        <v>45497</v>
      </c>
      <c r="G598" t="s">
        <v>62</v>
      </c>
      <c r="H598" t="s">
        <v>33</v>
      </c>
      <c r="I598">
        <v>6661</v>
      </c>
      <c r="J598" t="s">
        <v>19</v>
      </c>
      <c r="K598" t="s">
        <v>20</v>
      </c>
      <c r="L598" t="s">
        <v>78</v>
      </c>
      <c r="M598" t="s">
        <v>22</v>
      </c>
      <c r="N598">
        <v>6</v>
      </c>
      <c r="O598" t="str">
        <f t="shared" si="9"/>
        <v>Extended</v>
      </c>
    </row>
    <row r="599" spans="1:15" x14ac:dyDescent="0.3">
      <c r="A599" t="s">
        <v>1243</v>
      </c>
      <c r="B599" t="s">
        <v>1244</v>
      </c>
      <c r="C599">
        <v>9</v>
      </c>
      <c r="D599" t="s">
        <v>25</v>
      </c>
      <c r="E599" s="1">
        <v>45450</v>
      </c>
      <c r="F599" s="1">
        <v>45460</v>
      </c>
      <c r="G599" t="s">
        <v>94</v>
      </c>
      <c r="H599" t="s">
        <v>33</v>
      </c>
      <c r="I599">
        <v>7983</v>
      </c>
      <c r="J599" t="s">
        <v>34</v>
      </c>
      <c r="K599" t="s">
        <v>20</v>
      </c>
      <c r="L599" t="s">
        <v>36</v>
      </c>
      <c r="M599" t="s">
        <v>50</v>
      </c>
      <c r="N599">
        <v>10</v>
      </c>
      <c r="O599" t="str">
        <f t="shared" si="9"/>
        <v>Extended</v>
      </c>
    </row>
    <row r="600" spans="1:15" x14ac:dyDescent="0.3">
      <c r="A600" t="s">
        <v>1245</v>
      </c>
      <c r="B600" t="s">
        <v>1246</v>
      </c>
      <c r="C600">
        <v>58</v>
      </c>
      <c r="D600" t="s">
        <v>16</v>
      </c>
      <c r="E600" s="1">
        <v>45773</v>
      </c>
      <c r="F600" s="1">
        <v>45783</v>
      </c>
      <c r="G600" t="s">
        <v>17</v>
      </c>
      <c r="H600" t="s">
        <v>58</v>
      </c>
      <c r="I600">
        <v>2319</v>
      </c>
      <c r="J600" t="s">
        <v>34</v>
      </c>
      <c r="K600" t="s">
        <v>44</v>
      </c>
      <c r="L600" t="s">
        <v>78</v>
      </c>
      <c r="M600" t="s">
        <v>22</v>
      </c>
      <c r="N600">
        <v>10</v>
      </c>
      <c r="O600" t="str">
        <f t="shared" si="9"/>
        <v>Extended</v>
      </c>
    </row>
    <row r="601" spans="1:15" x14ac:dyDescent="0.3">
      <c r="A601" t="s">
        <v>1247</v>
      </c>
      <c r="B601" t="s">
        <v>1248</v>
      </c>
      <c r="C601">
        <v>4</v>
      </c>
      <c r="D601" t="s">
        <v>25</v>
      </c>
      <c r="E601" s="1">
        <v>45806</v>
      </c>
      <c r="F601" s="1">
        <v>45816</v>
      </c>
      <c r="G601" t="s">
        <v>66</v>
      </c>
      <c r="H601" t="s">
        <v>27</v>
      </c>
      <c r="I601">
        <v>7960</v>
      </c>
      <c r="J601" t="s">
        <v>19</v>
      </c>
      <c r="K601" t="s">
        <v>49</v>
      </c>
      <c r="L601" t="s">
        <v>45</v>
      </c>
      <c r="M601" t="s">
        <v>29</v>
      </c>
      <c r="N601">
        <v>10</v>
      </c>
      <c r="O601" t="str">
        <f t="shared" si="9"/>
        <v>Extended</v>
      </c>
    </row>
    <row r="602" spans="1:15" x14ac:dyDescent="0.3">
      <c r="A602" t="s">
        <v>1249</v>
      </c>
      <c r="B602" t="s">
        <v>1250</v>
      </c>
      <c r="C602">
        <v>23</v>
      </c>
      <c r="D602" t="s">
        <v>25</v>
      </c>
      <c r="E602" s="1">
        <v>45710</v>
      </c>
      <c r="F602" s="1">
        <v>45716</v>
      </c>
      <c r="G602" t="s">
        <v>32</v>
      </c>
      <c r="H602" t="s">
        <v>89</v>
      </c>
      <c r="I602">
        <v>2268</v>
      </c>
      <c r="J602" t="s">
        <v>34</v>
      </c>
      <c r="K602" t="s">
        <v>54</v>
      </c>
      <c r="L602" t="s">
        <v>36</v>
      </c>
      <c r="M602" t="s">
        <v>22</v>
      </c>
      <c r="N602">
        <v>6</v>
      </c>
      <c r="O602" t="str">
        <f t="shared" si="9"/>
        <v>Extended</v>
      </c>
    </row>
    <row r="603" spans="1:15" x14ac:dyDescent="0.3">
      <c r="A603" t="s">
        <v>1251</v>
      </c>
      <c r="B603" t="s">
        <v>1252</v>
      </c>
      <c r="C603">
        <v>90</v>
      </c>
      <c r="D603" t="s">
        <v>16</v>
      </c>
      <c r="E603" s="1">
        <v>45614</v>
      </c>
      <c r="F603" s="1">
        <v>45626</v>
      </c>
      <c r="G603" t="s">
        <v>94</v>
      </c>
      <c r="H603" t="s">
        <v>53</v>
      </c>
      <c r="I603">
        <v>4016</v>
      </c>
      <c r="J603" t="s">
        <v>19</v>
      </c>
      <c r="K603" t="s">
        <v>49</v>
      </c>
      <c r="L603" t="s">
        <v>21</v>
      </c>
      <c r="M603" t="s">
        <v>29</v>
      </c>
      <c r="N603">
        <v>12</v>
      </c>
      <c r="O603" t="str">
        <f t="shared" si="9"/>
        <v>Extended</v>
      </c>
    </row>
    <row r="604" spans="1:15" x14ac:dyDescent="0.3">
      <c r="A604" t="s">
        <v>1253</v>
      </c>
      <c r="B604" t="s">
        <v>1254</v>
      </c>
      <c r="C604">
        <v>82</v>
      </c>
      <c r="D604" t="s">
        <v>25</v>
      </c>
      <c r="E604" s="1">
        <v>45535</v>
      </c>
      <c r="F604" s="1">
        <v>45541</v>
      </c>
      <c r="G604" t="s">
        <v>43</v>
      </c>
      <c r="H604" t="s">
        <v>73</v>
      </c>
      <c r="I604">
        <v>4033</v>
      </c>
      <c r="J604" t="s">
        <v>19</v>
      </c>
      <c r="K604" t="s">
        <v>49</v>
      </c>
      <c r="L604" t="s">
        <v>59</v>
      </c>
      <c r="M604" t="s">
        <v>22</v>
      </c>
      <c r="N604">
        <v>6</v>
      </c>
      <c r="O604" t="str">
        <f t="shared" si="9"/>
        <v>Extended</v>
      </c>
    </row>
    <row r="605" spans="1:15" x14ac:dyDescent="0.3">
      <c r="A605" t="s">
        <v>1255</v>
      </c>
      <c r="B605" t="s">
        <v>1256</v>
      </c>
      <c r="C605">
        <v>79</v>
      </c>
      <c r="D605" t="s">
        <v>16</v>
      </c>
      <c r="E605" s="1">
        <v>45664</v>
      </c>
      <c r="F605" s="1">
        <v>45669</v>
      </c>
      <c r="G605" t="s">
        <v>66</v>
      </c>
      <c r="H605" t="s">
        <v>58</v>
      </c>
      <c r="I605">
        <v>6693</v>
      </c>
      <c r="J605" t="s">
        <v>34</v>
      </c>
      <c r="K605" t="s">
        <v>44</v>
      </c>
      <c r="L605" t="s">
        <v>28</v>
      </c>
      <c r="M605" t="s">
        <v>29</v>
      </c>
      <c r="N605">
        <v>5</v>
      </c>
      <c r="O605" t="str">
        <f t="shared" si="9"/>
        <v>Extended</v>
      </c>
    </row>
    <row r="606" spans="1:15" x14ac:dyDescent="0.3">
      <c r="A606" t="s">
        <v>1257</v>
      </c>
      <c r="B606" t="s">
        <v>1258</v>
      </c>
      <c r="C606">
        <v>72</v>
      </c>
      <c r="D606" t="s">
        <v>25</v>
      </c>
      <c r="E606" s="1">
        <v>45470</v>
      </c>
      <c r="F606" s="1">
        <v>45472</v>
      </c>
      <c r="G606" t="s">
        <v>26</v>
      </c>
      <c r="H606" t="s">
        <v>27</v>
      </c>
      <c r="I606">
        <v>5580</v>
      </c>
      <c r="J606" t="s">
        <v>19</v>
      </c>
      <c r="K606" t="s">
        <v>40</v>
      </c>
      <c r="L606" t="s">
        <v>59</v>
      </c>
      <c r="M606" t="s">
        <v>22</v>
      </c>
      <c r="N606">
        <v>2</v>
      </c>
      <c r="O606" t="str">
        <f t="shared" si="9"/>
        <v>Normal</v>
      </c>
    </row>
    <row r="607" spans="1:15" x14ac:dyDescent="0.3">
      <c r="A607" t="s">
        <v>1259</v>
      </c>
      <c r="B607" t="s">
        <v>1260</v>
      </c>
      <c r="C607">
        <v>31</v>
      </c>
      <c r="D607" t="s">
        <v>25</v>
      </c>
      <c r="E607" s="1">
        <v>45533</v>
      </c>
      <c r="F607" s="1">
        <v>45536</v>
      </c>
      <c r="G607" t="s">
        <v>32</v>
      </c>
      <c r="H607" t="s">
        <v>39</v>
      </c>
      <c r="I607">
        <v>6856</v>
      </c>
      <c r="J607" t="s">
        <v>19</v>
      </c>
      <c r="K607" t="s">
        <v>40</v>
      </c>
      <c r="L607" t="s">
        <v>21</v>
      </c>
      <c r="M607" t="s">
        <v>29</v>
      </c>
      <c r="N607">
        <v>3</v>
      </c>
      <c r="O607" t="str">
        <f t="shared" si="9"/>
        <v>Normal</v>
      </c>
    </row>
    <row r="608" spans="1:15" x14ac:dyDescent="0.3">
      <c r="A608" t="s">
        <v>1261</v>
      </c>
      <c r="B608" t="s">
        <v>1262</v>
      </c>
      <c r="C608">
        <v>50</v>
      </c>
      <c r="D608" t="s">
        <v>25</v>
      </c>
      <c r="E608" s="1">
        <v>45454</v>
      </c>
      <c r="F608" s="1">
        <v>45465</v>
      </c>
      <c r="G608" t="s">
        <v>94</v>
      </c>
      <c r="H608" t="s">
        <v>89</v>
      </c>
      <c r="I608">
        <v>1701</v>
      </c>
      <c r="J608" t="s">
        <v>19</v>
      </c>
      <c r="K608" t="s">
        <v>20</v>
      </c>
      <c r="L608" t="s">
        <v>36</v>
      </c>
      <c r="M608" t="s">
        <v>29</v>
      </c>
      <c r="N608">
        <v>11</v>
      </c>
      <c r="O608" t="str">
        <f t="shared" si="9"/>
        <v>Extended</v>
      </c>
    </row>
    <row r="609" spans="1:15" x14ac:dyDescent="0.3">
      <c r="A609" t="s">
        <v>1263</v>
      </c>
      <c r="B609" t="s">
        <v>1264</v>
      </c>
      <c r="C609">
        <v>13</v>
      </c>
      <c r="D609" t="s">
        <v>25</v>
      </c>
      <c r="E609" s="1">
        <v>45612</v>
      </c>
      <c r="F609" s="1">
        <v>45623</v>
      </c>
      <c r="G609" t="s">
        <v>66</v>
      </c>
      <c r="H609" t="s">
        <v>18</v>
      </c>
      <c r="I609">
        <v>9700</v>
      </c>
      <c r="J609" t="s">
        <v>34</v>
      </c>
      <c r="K609" t="s">
        <v>20</v>
      </c>
      <c r="L609" t="s">
        <v>55</v>
      </c>
      <c r="M609" t="s">
        <v>22</v>
      </c>
      <c r="N609">
        <v>11</v>
      </c>
      <c r="O609" t="str">
        <f t="shared" si="9"/>
        <v>Extended</v>
      </c>
    </row>
    <row r="610" spans="1:15" x14ac:dyDescent="0.3">
      <c r="A610" t="s">
        <v>1265</v>
      </c>
      <c r="B610" t="s">
        <v>1266</v>
      </c>
      <c r="C610">
        <v>20</v>
      </c>
      <c r="D610" t="s">
        <v>25</v>
      </c>
      <c r="E610" s="1">
        <v>45655</v>
      </c>
      <c r="F610" s="1">
        <v>45657</v>
      </c>
      <c r="G610" t="s">
        <v>26</v>
      </c>
      <c r="H610" t="s">
        <v>33</v>
      </c>
      <c r="I610">
        <v>8851</v>
      </c>
      <c r="J610" t="s">
        <v>19</v>
      </c>
      <c r="K610" t="s">
        <v>54</v>
      </c>
      <c r="L610" t="s">
        <v>45</v>
      </c>
      <c r="M610" t="s">
        <v>50</v>
      </c>
      <c r="N610">
        <v>2</v>
      </c>
      <c r="O610" t="str">
        <f t="shared" si="9"/>
        <v>Normal</v>
      </c>
    </row>
    <row r="611" spans="1:15" x14ac:dyDescent="0.3">
      <c r="A611" t="s">
        <v>1267</v>
      </c>
      <c r="B611" t="s">
        <v>1268</v>
      </c>
      <c r="C611">
        <v>84</v>
      </c>
      <c r="D611" t="s">
        <v>25</v>
      </c>
      <c r="E611" s="1">
        <v>45514</v>
      </c>
      <c r="F611" s="1">
        <v>45521</v>
      </c>
      <c r="G611" t="s">
        <v>94</v>
      </c>
      <c r="H611" t="s">
        <v>39</v>
      </c>
      <c r="I611">
        <v>8068</v>
      </c>
      <c r="J611" t="s">
        <v>34</v>
      </c>
      <c r="K611" t="s">
        <v>40</v>
      </c>
      <c r="L611" t="s">
        <v>59</v>
      </c>
      <c r="M611" t="s">
        <v>50</v>
      </c>
      <c r="N611">
        <v>7</v>
      </c>
      <c r="O611" t="str">
        <f t="shared" si="9"/>
        <v>Extended</v>
      </c>
    </row>
    <row r="612" spans="1:15" x14ac:dyDescent="0.3">
      <c r="A612" t="s">
        <v>1269</v>
      </c>
      <c r="B612" t="s">
        <v>1270</v>
      </c>
      <c r="C612">
        <v>53</v>
      </c>
      <c r="D612" t="s">
        <v>16</v>
      </c>
      <c r="E612" s="1">
        <v>45645</v>
      </c>
      <c r="F612" s="1">
        <v>45653</v>
      </c>
      <c r="G612" t="s">
        <v>43</v>
      </c>
      <c r="H612" t="s">
        <v>39</v>
      </c>
      <c r="I612">
        <v>4243</v>
      </c>
      <c r="J612" t="s">
        <v>34</v>
      </c>
      <c r="K612" t="s">
        <v>44</v>
      </c>
      <c r="L612" t="s">
        <v>45</v>
      </c>
      <c r="M612" t="s">
        <v>22</v>
      </c>
      <c r="N612">
        <v>8</v>
      </c>
      <c r="O612" t="str">
        <f t="shared" si="9"/>
        <v>Extended</v>
      </c>
    </row>
    <row r="613" spans="1:15" x14ac:dyDescent="0.3">
      <c r="A613" t="s">
        <v>1271</v>
      </c>
      <c r="B613" t="s">
        <v>1272</v>
      </c>
      <c r="C613">
        <v>23</v>
      </c>
      <c r="D613" t="s">
        <v>25</v>
      </c>
      <c r="E613" s="1">
        <v>45511</v>
      </c>
      <c r="F613" s="1">
        <v>45518</v>
      </c>
      <c r="G613" t="s">
        <v>26</v>
      </c>
      <c r="H613" t="s">
        <v>89</v>
      </c>
      <c r="I613">
        <v>4109</v>
      </c>
      <c r="J613" t="s">
        <v>34</v>
      </c>
      <c r="K613" t="s">
        <v>20</v>
      </c>
      <c r="L613" t="s">
        <v>21</v>
      </c>
      <c r="M613" t="s">
        <v>50</v>
      </c>
      <c r="N613">
        <v>7</v>
      </c>
      <c r="O613" t="str">
        <f t="shared" si="9"/>
        <v>Extended</v>
      </c>
    </row>
    <row r="614" spans="1:15" x14ac:dyDescent="0.3">
      <c r="A614" t="s">
        <v>1273</v>
      </c>
      <c r="B614" t="s">
        <v>1274</v>
      </c>
      <c r="C614">
        <v>86</v>
      </c>
      <c r="D614" t="s">
        <v>25</v>
      </c>
      <c r="E614" s="1">
        <v>45731</v>
      </c>
      <c r="F614" s="1">
        <v>45739</v>
      </c>
      <c r="G614" t="s">
        <v>94</v>
      </c>
      <c r="H614" t="s">
        <v>48</v>
      </c>
      <c r="I614">
        <v>9520</v>
      </c>
      <c r="J614" t="s">
        <v>34</v>
      </c>
      <c r="K614" t="s">
        <v>44</v>
      </c>
      <c r="L614" t="s">
        <v>55</v>
      </c>
      <c r="M614" t="s">
        <v>22</v>
      </c>
      <c r="N614">
        <v>8</v>
      </c>
      <c r="O614" t="str">
        <f t="shared" si="9"/>
        <v>Extended</v>
      </c>
    </row>
    <row r="615" spans="1:15" x14ac:dyDescent="0.3">
      <c r="A615" t="s">
        <v>1275</v>
      </c>
      <c r="B615" t="s">
        <v>1276</v>
      </c>
      <c r="C615">
        <v>58</v>
      </c>
      <c r="D615" t="s">
        <v>16</v>
      </c>
      <c r="E615" s="1">
        <v>45592</v>
      </c>
      <c r="F615" s="1">
        <v>45594</v>
      </c>
      <c r="G615" t="s">
        <v>26</v>
      </c>
      <c r="H615" t="s">
        <v>53</v>
      </c>
      <c r="I615">
        <v>3172</v>
      </c>
      <c r="J615" t="s">
        <v>19</v>
      </c>
      <c r="K615" t="s">
        <v>133</v>
      </c>
      <c r="L615" t="s">
        <v>21</v>
      </c>
      <c r="M615" t="s">
        <v>50</v>
      </c>
      <c r="N615">
        <v>2</v>
      </c>
      <c r="O615" t="str">
        <f t="shared" si="9"/>
        <v>Normal</v>
      </c>
    </row>
    <row r="616" spans="1:15" x14ac:dyDescent="0.3">
      <c r="A616" t="s">
        <v>1277</v>
      </c>
      <c r="B616" t="s">
        <v>1278</v>
      </c>
      <c r="C616">
        <v>38</v>
      </c>
      <c r="D616" t="s">
        <v>16</v>
      </c>
      <c r="E616" s="1">
        <v>45518</v>
      </c>
      <c r="F616" s="1">
        <v>45522</v>
      </c>
      <c r="G616" t="s">
        <v>66</v>
      </c>
      <c r="H616" t="s">
        <v>53</v>
      </c>
      <c r="I616">
        <v>4506</v>
      </c>
      <c r="J616" t="s">
        <v>19</v>
      </c>
      <c r="K616" t="s">
        <v>49</v>
      </c>
      <c r="L616" t="s">
        <v>21</v>
      </c>
      <c r="M616" t="s">
        <v>22</v>
      </c>
      <c r="N616">
        <v>4</v>
      </c>
      <c r="O616" t="str">
        <f t="shared" si="9"/>
        <v>Extended</v>
      </c>
    </row>
    <row r="617" spans="1:15" x14ac:dyDescent="0.3">
      <c r="A617" t="s">
        <v>1279</v>
      </c>
      <c r="B617" t="s">
        <v>1280</v>
      </c>
      <c r="C617">
        <v>59</v>
      </c>
      <c r="D617" t="s">
        <v>16</v>
      </c>
      <c r="E617" s="1">
        <v>45492</v>
      </c>
      <c r="F617" s="1">
        <v>45494</v>
      </c>
      <c r="G617" t="s">
        <v>43</v>
      </c>
      <c r="H617" t="s">
        <v>48</v>
      </c>
      <c r="I617">
        <v>9748</v>
      </c>
      <c r="J617" t="s">
        <v>19</v>
      </c>
      <c r="K617" t="s">
        <v>20</v>
      </c>
      <c r="L617" t="s">
        <v>78</v>
      </c>
      <c r="M617" t="s">
        <v>22</v>
      </c>
      <c r="N617">
        <v>2</v>
      </c>
      <c r="O617" t="str">
        <f t="shared" si="9"/>
        <v>Normal</v>
      </c>
    </row>
    <row r="618" spans="1:15" x14ac:dyDescent="0.3">
      <c r="A618" t="s">
        <v>1281</v>
      </c>
      <c r="B618" t="s">
        <v>1282</v>
      </c>
      <c r="C618">
        <v>1</v>
      </c>
      <c r="D618" t="s">
        <v>25</v>
      </c>
      <c r="E618" s="1">
        <v>45667</v>
      </c>
      <c r="F618" s="1">
        <v>45672</v>
      </c>
      <c r="G618" t="s">
        <v>17</v>
      </c>
      <c r="H618" t="s">
        <v>48</v>
      </c>
      <c r="I618">
        <v>1763</v>
      </c>
      <c r="J618" t="s">
        <v>19</v>
      </c>
      <c r="K618" t="s">
        <v>35</v>
      </c>
      <c r="L618" t="s">
        <v>28</v>
      </c>
      <c r="M618" t="s">
        <v>29</v>
      </c>
      <c r="N618">
        <v>5</v>
      </c>
      <c r="O618" t="str">
        <f t="shared" si="9"/>
        <v>Extended</v>
      </c>
    </row>
    <row r="619" spans="1:15" x14ac:dyDescent="0.3">
      <c r="A619" t="s">
        <v>1283</v>
      </c>
      <c r="B619" t="s">
        <v>1284</v>
      </c>
      <c r="C619">
        <v>89</v>
      </c>
      <c r="D619" t="s">
        <v>16</v>
      </c>
      <c r="E619" s="1">
        <v>45640</v>
      </c>
      <c r="F619" s="1">
        <v>45652</v>
      </c>
      <c r="G619" t="s">
        <v>62</v>
      </c>
      <c r="H619" t="s">
        <v>48</v>
      </c>
      <c r="I619">
        <v>3781</v>
      </c>
      <c r="J619" t="s">
        <v>34</v>
      </c>
      <c r="K619" t="s">
        <v>49</v>
      </c>
      <c r="L619" t="s">
        <v>45</v>
      </c>
      <c r="M619" t="s">
        <v>22</v>
      </c>
      <c r="N619">
        <v>12</v>
      </c>
      <c r="O619" t="str">
        <f t="shared" si="9"/>
        <v>Extended</v>
      </c>
    </row>
    <row r="620" spans="1:15" x14ac:dyDescent="0.3">
      <c r="A620" t="s">
        <v>1285</v>
      </c>
      <c r="B620" t="s">
        <v>1286</v>
      </c>
      <c r="C620">
        <v>87</v>
      </c>
      <c r="D620" t="s">
        <v>16</v>
      </c>
      <c r="E620" s="1">
        <v>45691</v>
      </c>
      <c r="F620" s="1">
        <v>45705</v>
      </c>
      <c r="G620" t="s">
        <v>32</v>
      </c>
      <c r="H620" t="s">
        <v>27</v>
      </c>
      <c r="I620">
        <v>7574</v>
      </c>
      <c r="J620" t="s">
        <v>19</v>
      </c>
      <c r="K620" t="s">
        <v>54</v>
      </c>
      <c r="L620" t="s">
        <v>59</v>
      </c>
      <c r="M620" t="s">
        <v>29</v>
      </c>
      <c r="N620">
        <v>14</v>
      </c>
      <c r="O620" t="str">
        <f t="shared" si="9"/>
        <v>Extended</v>
      </c>
    </row>
    <row r="621" spans="1:15" x14ac:dyDescent="0.3">
      <c r="A621" t="s">
        <v>1287</v>
      </c>
      <c r="B621" t="s">
        <v>1288</v>
      </c>
      <c r="C621">
        <v>2</v>
      </c>
      <c r="D621" t="s">
        <v>16</v>
      </c>
      <c r="E621" s="1">
        <v>45663</v>
      </c>
      <c r="F621" s="1">
        <v>45672</v>
      </c>
      <c r="G621" t="s">
        <v>43</v>
      </c>
      <c r="H621" t="s">
        <v>48</v>
      </c>
      <c r="I621">
        <v>4515</v>
      </c>
      <c r="J621" t="s">
        <v>19</v>
      </c>
      <c r="K621" t="s">
        <v>49</v>
      </c>
      <c r="L621" t="s">
        <v>21</v>
      </c>
      <c r="M621" t="s">
        <v>50</v>
      </c>
      <c r="N621">
        <v>9</v>
      </c>
      <c r="O621" t="str">
        <f t="shared" si="9"/>
        <v>Extended</v>
      </c>
    </row>
    <row r="622" spans="1:15" x14ac:dyDescent="0.3">
      <c r="A622" t="s">
        <v>1289</v>
      </c>
      <c r="B622" t="s">
        <v>1290</v>
      </c>
      <c r="C622">
        <v>89</v>
      </c>
      <c r="D622" t="s">
        <v>25</v>
      </c>
      <c r="E622" s="1">
        <v>45777</v>
      </c>
      <c r="F622" s="1">
        <v>45782</v>
      </c>
      <c r="G622" t="s">
        <v>43</v>
      </c>
      <c r="H622" t="s">
        <v>53</v>
      </c>
      <c r="I622">
        <v>1825</v>
      </c>
      <c r="J622" t="s">
        <v>19</v>
      </c>
      <c r="K622" t="s">
        <v>54</v>
      </c>
      <c r="L622" t="s">
        <v>45</v>
      </c>
      <c r="M622" t="s">
        <v>29</v>
      </c>
      <c r="N622">
        <v>5</v>
      </c>
      <c r="O622" t="str">
        <f t="shared" si="9"/>
        <v>Extended</v>
      </c>
    </row>
    <row r="623" spans="1:15" x14ac:dyDescent="0.3">
      <c r="A623" t="s">
        <v>1291</v>
      </c>
      <c r="B623" t="s">
        <v>1292</v>
      </c>
      <c r="C623">
        <v>11</v>
      </c>
      <c r="D623" t="s">
        <v>25</v>
      </c>
      <c r="E623" s="1">
        <v>45708</v>
      </c>
      <c r="F623" s="1">
        <v>45710</v>
      </c>
      <c r="G623" t="s">
        <v>66</v>
      </c>
      <c r="H623" t="s">
        <v>58</v>
      </c>
      <c r="I623">
        <v>4566</v>
      </c>
      <c r="J623" t="s">
        <v>34</v>
      </c>
      <c r="K623" t="s">
        <v>35</v>
      </c>
      <c r="L623" t="s">
        <v>55</v>
      </c>
      <c r="M623" t="s">
        <v>22</v>
      </c>
      <c r="N623">
        <v>2</v>
      </c>
      <c r="O623" t="str">
        <f t="shared" si="9"/>
        <v>Normal</v>
      </c>
    </row>
    <row r="624" spans="1:15" x14ac:dyDescent="0.3">
      <c r="A624" t="s">
        <v>1293</v>
      </c>
      <c r="B624" t="s">
        <v>1294</v>
      </c>
      <c r="C624">
        <v>31</v>
      </c>
      <c r="D624" t="s">
        <v>16</v>
      </c>
      <c r="E624" s="1">
        <v>45673</v>
      </c>
      <c r="F624" s="1">
        <v>45687</v>
      </c>
      <c r="G624" t="s">
        <v>43</v>
      </c>
      <c r="H624" t="s">
        <v>63</v>
      </c>
      <c r="I624">
        <v>8538</v>
      </c>
      <c r="J624" t="s">
        <v>19</v>
      </c>
      <c r="K624" t="s">
        <v>35</v>
      </c>
      <c r="L624" t="s">
        <v>55</v>
      </c>
      <c r="M624" t="s">
        <v>22</v>
      </c>
      <c r="N624">
        <v>14</v>
      </c>
      <c r="O624" t="str">
        <f t="shared" si="9"/>
        <v>Extended</v>
      </c>
    </row>
    <row r="625" spans="1:15" x14ac:dyDescent="0.3">
      <c r="A625" t="s">
        <v>1295</v>
      </c>
      <c r="B625" t="s">
        <v>1296</v>
      </c>
      <c r="C625">
        <v>6</v>
      </c>
      <c r="D625" t="s">
        <v>16</v>
      </c>
      <c r="E625" s="1">
        <v>45785</v>
      </c>
      <c r="F625" s="1">
        <v>45790</v>
      </c>
      <c r="G625" t="s">
        <v>66</v>
      </c>
      <c r="H625" t="s">
        <v>53</v>
      </c>
      <c r="I625">
        <v>5320</v>
      </c>
      <c r="J625" t="s">
        <v>19</v>
      </c>
      <c r="K625" t="s">
        <v>40</v>
      </c>
      <c r="L625" t="s">
        <v>55</v>
      </c>
      <c r="M625" t="s">
        <v>50</v>
      </c>
      <c r="N625">
        <v>5</v>
      </c>
      <c r="O625" t="str">
        <f t="shared" si="9"/>
        <v>Extended</v>
      </c>
    </row>
    <row r="626" spans="1:15" x14ac:dyDescent="0.3">
      <c r="A626" t="s">
        <v>1297</v>
      </c>
      <c r="B626" t="s">
        <v>1298</v>
      </c>
      <c r="C626">
        <v>39</v>
      </c>
      <c r="D626" t="s">
        <v>16</v>
      </c>
      <c r="E626" s="1">
        <v>45780</v>
      </c>
      <c r="F626" s="1">
        <v>45784</v>
      </c>
      <c r="G626" t="s">
        <v>62</v>
      </c>
      <c r="H626" t="s">
        <v>53</v>
      </c>
      <c r="I626">
        <v>9274</v>
      </c>
      <c r="J626" t="s">
        <v>19</v>
      </c>
      <c r="K626" t="s">
        <v>49</v>
      </c>
      <c r="L626" t="s">
        <v>78</v>
      </c>
      <c r="M626" t="s">
        <v>50</v>
      </c>
      <c r="N626">
        <v>4</v>
      </c>
      <c r="O626" t="str">
        <f t="shared" si="9"/>
        <v>Extended</v>
      </c>
    </row>
    <row r="627" spans="1:15" x14ac:dyDescent="0.3">
      <c r="A627" t="s">
        <v>1299</v>
      </c>
      <c r="B627" t="s">
        <v>1300</v>
      </c>
      <c r="C627">
        <v>31</v>
      </c>
      <c r="D627" t="s">
        <v>16</v>
      </c>
      <c r="E627" s="1">
        <v>45689</v>
      </c>
      <c r="F627" s="1">
        <v>45695</v>
      </c>
      <c r="G627" t="s">
        <v>26</v>
      </c>
      <c r="H627" t="s">
        <v>18</v>
      </c>
      <c r="I627">
        <v>1135</v>
      </c>
      <c r="J627" t="s">
        <v>19</v>
      </c>
      <c r="K627" t="s">
        <v>44</v>
      </c>
      <c r="L627" t="s">
        <v>21</v>
      </c>
      <c r="M627" t="s">
        <v>22</v>
      </c>
      <c r="N627">
        <v>6</v>
      </c>
      <c r="O627" t="str">
        <f t="shared" si="9"/>
        <v>Extended</v>
      </c>
    </row>
    <row r="628" spans="1:15" x14ac:dyDescent="0.3">
      <c r="A628" t="s">
        <v>1301</v>
      </c>
      <c r="B628" t="s">
        <v>1302</v>
      </c>
      <c r="C628">
        <v>7</v>
      </c>
      <c r="D628" t="s">
        <v>25</v>
      </c>
      <c r="E628" s="1">
        <v>45552</v>
      </c>
      <c r="F628" s="1">
        <v>45556</v>
      </c>
      <c r="G628" t="s">
        <v>94</v>
      </c>
      <c r="H628" t="s">
        <v>39</v>
      </c>
      <c r="I628">
        <v>7668</v>
      </c>
      <c r="J628" t="s">
        <v>19</v>
      </c>
      <c r="K628" t="s">
        <v>54</v>
      </c>
      <c r="L628" t="s">
        <v>59</v>
      </c>
      <c r="M628" t="s">
        <v>50</v>
      </c>
      <c r="N628">
        <v>4</v>
      </c>
      <c r="O628" t="str">
        <f t="shared" si="9"/>
        <v>Extended</v>
      </c>
    </row>
    <row r="629" spans="1:15" x14ac:dyDescent="0.3">
      <c r="A629" t="s">
        <v>1303</v>
      </c>
      <c r="B629" t="s">
        <v>1304</v>
      </c>
      <c r="C629">
        <v>6</v>
      </c>
      <c r="D629" t="s">
        <v>16</v>
      </c>
      <c r="E629" s="1">
        <v>45590</v>
      </c>
      <c r="F629" s="1">
        <v>45594</v>
      </c>
      <c r="G629" t="s">
        <v>66</v>
      </c>
      <c r="H629" t="s">
        <v>27</v>
      </c>
      <c r="I629">
        <v>5032</v>
      </c>
      <c r="J629" t="s">
        <v>19</v>
      </c>
      <c r="K629" t="s">
        <v>133</v>
      </c>
      <c r="L629" t="s">
        <v>45</v>
      </c>
      <c r="M629" t="s">
        <v>50</v>
      </c>
      <c r="N629">
        <v>4</v>
      </c>
      <c r="O629" t="str">
        <f t="shared" si="9"/>
        <v>Extended</v>
      </c>
    </row>
    <row r="630" spans="1:15" x14ac:dyDescent="0.3">
      <c r="A630" t="s">
        <v>1305</v>
      </c>
      <c r="B630" t="s">
        <v>1306</v>
      </c>
      <c r="C630">
        <v>18</v>
      </c>
      <c r="D630" t="s">
        <v>16</v>
      </c>
      <c r="E630" s="1">
        <v>45703</v>
      </c>
      <c r="F630" s="1">
        <v>45716</v>
      </c>
      <c r="G630" t="s">
        <v>17</v>
      </c>
      <c r="H630" t="s">
        <v>63</v>
      </c>
      <c r="I630">
        <v>5010</v>
      </c>
      <c r="J630" t="s">
        <v>19</v>
      </c>
      <c r="K630" t="s">
        <v>54</v>
      </c>
      <c r="L630" t="s">
        <v>59</v>
      </c>
      <c r="M630" t="s">
        <v>50</v>
      </c>
      <c r="N630">
        <v>13</v>
      </c>
      <c r="O630" t="str">
        <f t="shared" si="9"/>
        <v>Extended</v>
      </c>
    </row>
    <row r="631" spans="1:15" x14ac:dyDescent="0.3">
      <c r="A631" t="s">
        <v>1307</v>
      </c>
      <c r="B631" t="s">
        <v>1308</v>
      </c>
      <c r="C631">
        <v>72</v>
      </c>
      <c r="D631" t="s">
        <v>25</v>
      </c>
      <c r="E631" s="1">
        <v>45576</v>
      </c>
      <c r="F631" s="1">
        <v>45585</v>
      </c>
      <c r="G631" t="s">
        <v>66</v>
      </c>
      <c r="H631" t="s">
        <v>73</v>
      </c>
      <c r="I631">
        <v>2882</v>
      </c>
      <c r="J631" t="s">
        <v>34</v>
      </c>
      <c r="K631" t="s">
        <v>35</v>
      </c>
      <c r="L631" t="s">
        <v>28</v>
      </c>
      <c r="M631" t="s">
        <v>50</v>
      </c>
      <c r="N631">
        <v>9</v>
      </c>
      <c r="O631" t="str">
        <f t="shared" si="9"/>
        <v>Extended</v>
      </c>
    </row>
    <row r="632" spans="1:15" x14ac:dyDescent="0.3">
      <c r="A632" t="s">
        <v>1309</v>
      </c>
      <c r="B632" t="s">
        <v>1310</v>
      </c>
      <c r="C632">
        <v>42</v>
      </c>
      <c r="D632" t="s">
        <v>16</v>
      </c>
      <c r="E632" s="1">
        <v>45501</v>
      </c>
      <c r="F632" s="1">
        <v>45514</v>
      </c>
      <c r="G632" t="s">
        <v>32</v>
      </c>
      <c r="H632" t="s">
        <v>63</v>
      </c>
      <c r="I632">
        <v>9484</v>
      </c>
      <c r="J632" t="s">
        <v>34</v>
      </c>
      <c r="K632" t="s">
        <v>40</v>
      </c>
      <c r="L632" t="s">
        <v>55</v>
      </c>
      <c r="M632" t="s">
        <v>29</v>
      </c>
      <c r="N632">
        <v>13</v>
      </c>
      <c r="O632" t="str">
        <f t="shared" si="9"/>
        <v>Extended</v>
      </c>
    </row>
    <row r="633" spans="1:15" x14ac:dyDescent="0.3">
      <c r="A633" t="s">
        <v>1311</v>
      </c>
      <c r="B633" t="s">
        <v>1312</v>
      </c>
      <c r="C633">
        <v>58</v>
      </c>
      <c r="D633" t="s">
        <v>25</v>
      </c>
      <c r="E633" s="1">
        <v>45568</v>
      </c>
      <c r="F633" s="1">
        <v>45578</v>
      </c>
      <c r="G633" t="s">
        <v>62</v>
      </c>
      <c r="H633" t="s">
        <v>53</v>
      </c>
      <c r="I633">
        <v>3357</v>
      </c>
      <c r="J633" t="s">
        <v>34</v>
      </c>
      <c r="K633" t="s">
        <v>54</v>
      </c>
      <c r="L633" t="s">
        <v>36</v>
      </c>
      <c r="M633" t="s">
        <v>50</v>
      </c>
      <c r="N633">
        <v>10</v>
      </c>
      <c r="O633" t="str">
        <f t="shared" si="9"/>
        <v>Extended</v>
      </c>
    </row>
    <row r="634" spans="1:15" x14ac:dyDescent="0.3">
      <c r="A634" t="s">
        <v>1313</v>
      </c>
      <c r="B634" t="s">
        <v>1314</v>
      </c>
      <c r="C634">
        <v>34</v>
      </c>
      <c r="D634" t="s">
        <v>16</v>
      </c>
      <c r="E634" s="1">
        <v>45542</v>
      </c>
      <c r="F634" s="1">
        <v>45543</v>
      </c>
      <c r="G634" t="s">
        <v>43</v>
      </c>
      <c r="H634" t="s">
        <v>39</v>
      </c>
      <c r="I634">
        <v>7154</v>
      </c>
      <c r="J634" t="s">
        <v>34</v>
      </c>
      <c r="K634" t="s">
        <v>133</v>
      </c>
      <c r="L634" t="s">
        <v>36</v>
      </c>
      <c r="M634" t="s">
        <v>29</v>
      </c>
      <c r="N634">
        <v>1</v>
      </c>
      <c r="O634" t="str">
        <f t="shared" si="9"/>
        <v>Normal</v>
      </c>
    </row>
    <row r="635" spans="1:15" x14ac:dyDescent="0.3">
      <c r="A635" t="s">
        <v>1315</v>
      </c>
      <c r="B635" t="s">
        <v>1316</v>
      </c>
      <c r="C635">
        <v>28</v>
      </c>
      <c r="D635" t="s">
        <v>16</v>
      </c>
      <c r="E635" s="1">
        <v>45742</v>
      </c>
      <c r="F635" s="1">
        <v>45750</v>
      </c>
      <c r="G635" t="s">
        <v>26</v>
      </c>
      <c r="H635" t="s">
        <v>27</v>
      </c>
      <c r="I635">
        <v>7238</v>
      </c>
      <c r="J635" t="s">
        <v>34</v>
      </c>
      <c r="K635" t="s">
        <v>133</v>
      </c>
      <c r="L635" t="s">
        <v>59</v>
      </c>
      <c r="M635" t="s">
        <v>29</v>
      </c>
      <c r="N635">
        <v>8</v>
      </c>
      <c r="O635" t="str">
        <f t="shared" si="9"/>
        <v>Extended</v>
      </c>
    </row>
    <row r="636" spans="1:15" x14ac:dyDescent="0.3">
      <c r="A636" t="s">
        <v>1317</v>
      </c>
      <c r="B636" t="s">
        <v>1318</v>
      </c>
      <c r="C636">
        <v>44</v>
      </c>
      <c r="D636" t="s">
        <v>16</v>
      </c>
      <c r="E636" s="1">
        <v>45694</v>
      </c>
      <c r="F636" s="1">
        <v>45704</v>
      </c>
      <c r="G636" t="s">
        <v>62</v>
      </c>
      <c r="H636" t="s">
        <v>53</v>
      </c>
      <c r="I636">
        <v>8625</v>
      </c>
      <c r="J636" t="s">
        <v>19</v>
      </c>
      <c r="K636" t="s">
        <v>44</v>
      </c>
      <c r="L636" t="s">
        <v>21</v>
      </c>
      <c r="M636" t="s">
        <v>50</v>
      </c>
      <c r="N636">
        <v>10</v>
      </c>
      <c r="O636" t="str">
        <f t="shared" si="9"/>
        <v>Extended</v>
      </c>
    </row>
    <row r="637" spans="1:15" x14ac:dyDescent="0.3">
      <c r="A637" t="s">
        <v>1319</v>
      </c>
      <c r="B637" t="s">
        <v>1320</v>
      </c>
      <c r="C637">
        <v>19</v>
      </c>
      <c r="D637" t="s">
        <v>25</v>
      </c>
      <c r="E637" s="1">
        <v>45629</v>
      </c>
      <c r="F637" s="1">
        <v>45637</v>
      </c>
      <c r="G637" t="s">
        <v>32</v>
      </c>
      <c r="H637" t="s">
        <v>73</v>
      </c>
      <c r="I637">
        <v>7240</v>
      </c>
      <c r="J637" t="s">
        <v>34</v>
      </c>
      <c r="K637" t="s">
        <v>20</v>
      </c>
      <c r="L637" t="s">
        <v>45</v>
      </c>
      <c r="M637" t="s">
        <v>29</v>
      </c>
      <c r="N637">
        <v>8</v>
      </c>
      <c r="O637" t="str">
        <f t="shared" si="9"/>
        <v>Extended</v>
      </c>
    </row>
    <row r="638" spans="1:15" x14ac:dyDescent="0.3">
      <c r="A638" t="s">
        <v>1321</v>
      </c>
      <c r="B638" t="s">
        <v>1322</v>
      </c>
      <c r="C638">
        <v>68</v>
      </c>
      <c r="D638" t="s">
        <v>25</v>
      </c>
      <c r="E638" s="1">
        <v>45800</v>
      </c>
      <c r="F638" s="1">
        <v>45802</v>
      </c>
      <c r="G638" t="s">
        <v>43</v>
      </c>
      <c r="H638" t="s">
        <v>73</v>
      </c>
      <c r="I638">
        <v>9416</v>
      </c>
      <c r="J638" t="s">
        <v>19</v>
      </c>
      <c r="K638" t="s">
        <v>35</v>
      </c>
      <c r="L638" t="s">
        <v>59</v>
      </c>
      <c r="M638" t="s">
        <v>50</v>
      </c>
      <c r="N638">
        <v>2</v>
      </c>
      <c r="O638" t="str">
        <f t="shared" si="9"/>
        <v>Normal</v>
      </c>
    </row>
    <row r="639" spans="1:15" x14ac:dyDescent="0.3">
      <c r="A639" t="s">
        <v>1323</v>
      </c>
      <c r="B639" t="s">
        <v>1324</v>
      </c>
      <c r="C639">
        <v>81</v>
      </c>
      <c r="D639" t="s">
        <v>16</v>
      </c>
      <c r="E639" s="1">
        <v>45507</v>
      </c>
      <c r="F639" s="1">
        <v>45516</v>
      </c>
      <c r="G639" t="s">
        <v>94</v>
      </c>
      <c r="H639" t="s">
        <v>33</v>
      </c>
      <c r="I639">
        <v>4720</v>
      </c>
      <c r="J639" t="s">
        <v>34</v>
      </c>
      <c r="K639" t="s">
        <v>49</v>
      </c>
      <c r="L639" t="s">
        <v>59</v>
      </c>
      <c r="M639" t="s">
        <v>50</v>
      </c>
      <c r="N639">
        <v>9</v>
      </c>
      <c r="O639" t="str">
        <f t="shared" si="9"/>
        <v>Extended</v>
      </c>
    </row>
    <row r="640" spans="1:15" x14ac:dyDescent="0.3">
      <c r="A640" t="s">
        <v>1325</v>
      </c>
      <c r="B640" t="s">
        <v>1326</v>
      </c>
      <c r="C640">
        <v>75</v>
      </c>
      <c r="D640" t="s">
        <v>16</v>
      </c>
      <c r="E640" s="1">
        <v>45492</v>
      </c>
      <c r="F640" s="1">
        <v>45505</v>
      </c>
      <c r="G640" t="s">
        <v>26</v>
      </c>
      <c r="H640" t="s">
        <v>33</v>
      </c>
      <c r="I640">
        <v>7440</v>
      </c>
      <c r="J640" t="s">
        <v>19</v>
      </c>
      <c r="K640" t="s">
        <v>133</v>
      </c>
      <c r="L640" t="s">
        <v>36</v>
      </c>
      <c r="M640" t="s">
        <v>22</v>
      </c>
      <c r="N640">
        <v>13</v>
      </c>
      <c r="O640" t="str">
        <f t="shared" si="9"/>
        <v>Extended</v>
      </c>
    </row>
    <row r="641" spans="1:15" x14ac:dyDescent="0.3">
      <c r="A641" t="s">
        <v>1327</v>
      </c>
      <c r="B641" t="s">
        <v>1328</v>
      </c>
      <c r="C641">
        <v>65</v>
      </c>
      <c r="D641" t="s">
        <v>25</v>
      </c>
      <c r="E641" s="1">
        <v>45541</v>
      </c>
      <c r="F641" s="1">
        <v>45549</v>
      </c>
      <c r="G641" t="s">
        <v>43</v>
      </c>
      <c r="H641" t="s">
        <v>18</v>
      </c>
      <c r="I641">
        <v>4974</v>
      </c>
      <c r="J641" t="s">
        <v>19</v>
      </c>
      <c r="K641" t="s">
        <v>40</v>
      </c>
      <c r="L641" t="s">
        <v>28</v>
      </c>
      <c r="M641" t="s">
        <v>29</v>
      </c>
      <c r="N641">
        <v>8</v>
      </c>
      <c r="O641" t="str">
        <f t="shared" si="9"/>
        <v>Extended</v>
      </c>
    </row>
    <row r="642" spans="1:15" x14ac:dyDescent="0.3">
      <c r="A642" t="s">
        <v>1329</v>
      </c>
      <c r="B642" t="s">
        <v>1330</v>
      </c>
      <c r="C642">
        <v>7</v>
      </c>
      <c r="D642" t="s">
        <v>16</v>
      </c>
      <c r="E642" s="1">
        <v>45482</v>
      </c>
      <c r="F642" s="1">
        <v>45489</v>
      </c>
      <c r="G642" t="s">
        <v>17</v>
      </c>
      <c r="H642" t="s">
        <v>63</v>
      </c>
      <c r="I642">
        <v>9469</v>
      </c>
      <c r="J642" t="s">
        <v>19</v>
      </c>
      <c r="K642" t="s">
        <v>35</v>
      </c>
      <c r="L642" t="s">
        <v>55</v>
      </c>
      <c r="M642" t="s">
        <v>50</v>
      </c>
      <c r="N642">
        <v>7</v>
      </c>
      <c r="O642" t="str">
        <f t="shared" si="9"/>
        <v>Extended</v>
      </c>
    </row>
    <row r="643" spans="1:15" x14ac:dyDescent="0.3">
      <c r="A643" t="s">
        <v>1331</v>
      </c>
      <c r="B643" t="s">
        <v>1332</v>
      </c>
      <c r="C643">
        <v>64</v>
      </c>
      <c r="D643" t="s">
        <v>16</v>
      </c>
      <c r="E643" s="1">
        <v>45554</v>
      </c>
      <c r="F643" s="1">
        <v>45555</v>
      </c>
      <c r="G643" t="s">
        <v>26</v>
      </c>
      <c r="H643" t="s">
        <v>63</v>
      </c>
      <c r="I643">
        <v>4640</v>
      </c>
      <c r="J643" t="s">
        <v>19</v>
      </c>
      <c r="K643" t="s">
        <v>49</v>
      </c>
      <c r="L643" t="s">
        <v>36</v>
      </c>
      <c r="M643" t="s">
        <v>29</v>
      </c>
      <c r="N643">
        <v>1</v>
      </c>
      <c r="O643" t="str">
        <f t="shared" ref="O643:O706" si="10">IF(N643&gt;3,"Extended","Normal")</f>
        <v>Normal</v>
      </c>
    </row>
    <row r="644" spans="1:15" x14ac:dyDescent="0.3">
      <c r="A644" t="s">
        <v>1333</v>
      </c>
      <c r="B644" t="s">
        <v>1334</v>
      </c>
      <c r="C644">
        <v>22</v>
      </c>
      <c r="D644" t="s">
        <v>25</v>
      </c>
      <c r="E644" s="1">
        <v>45792</v>
      </c>
      <c r="F644" s="1">
        <v>45799</v>
      </c>
      <c r="G644" t="s">
        <v>94</v>
      </c>
      <c r="H644" t="s">
        <v>73</v>
      </c>
      <c r="I644">
        <v>2253</v>
      </c>
      <c r="J644" t="s">
        <v>34</v>
      </c>
      <c r="K644" t="s">
        <v>20</v>
      </c>
      <c r="L644" t="s">
        <v>59</v>
      </c>
      <c r="M644" t="s">
        <v>29</v>
      </c>
      <c r="N644">
        <v>7</v>
      </c>
      <c r="O644" t="str">
        <f t="shared" si="10"/>
        <v>Extended</v>
      </c>
    </row>
    <row r="645" spans="1:15" x14ac:dyDescent="0.3">
      <c r="A645" t="s">
        <v>1335</v>
      </c>
      <c r="B645" t="s">
        <v>1336</v>
      </c>
      <c r="C645">
        <v>79</v>
      </c>
      <c r="D645" t="s">
        <v>25</v>
      </c>
      <c r="E645" s="1">
        <v>45453</v>
      </c>
      <c r="F645" s="1">
        <v>45461</v>
      </c>
      <c r="G645" t="s">
        <v>66</v>
      </c>
      <c r="H645" t="s">
        <v>27</v>
      </c>
      <c r="I645">
        <v>8533</v>
      </c>
      <c r="J645" t="s">
        <v>34</v>
      </c>
      <c r="K645" t="s">
        <v>35</v>
      </c>
      <c r="L645" t="s">
        <v>28</v>
      </c>
      <c r="M645" t="s">
        <v>22</v>
      </c>
      <c r="N645">
        <v>8</v>
      </c>
      <c r="O645" t="str">
        <f t="shared" si="10"/>
        <v>Extended</v>
      </c>
    </row>
    <row r="646" spans="1:15" x14ac:dyDescent="0.3">
      <c r="A646" t="s">
        <v>1337</v>
      </c>
      <c r="B646" t="s">
        <v>1338</v>
      </c>
      <c r="C646">
        <v>55</v>
      </c>
      <c r="D646" t="s">
        <v>25</v>
      </c>
      <c r="E646" s="1">
        <v>45683</v>
      </c>
      <c r="F646" s="1">
        <v>45692</v>
      </c>
      <c r="G646" t="s">
        <v>94</v>
      </c>
      <c r="H646" t="s">
        <v>89</v>
      </c>
      <c r="I646">
        <v>5052</v>
      </c>
      <c r="J646" t="s">
        <v>34</v>
      </c>
      <c r="K646" t="s">
        <v>44</v>
      </c>
      <c r="L646" t="s">
        <v>28</v>
      </c>
      <c r="M646" t="s">
        <v>22</v>
      </c>
      <c r="N646">
        <v>9</v>
      </c>
      <c r="O646" t="str">
        <f t="shared" si="10"/>
        <v>Extended</v>
      </c>
    </row>
    <row r="647" spans="1:15" x14ac:dyDescent="0.3">
      <c r="A647" t="s">
        <v>1339</v>
      </c>
      <c r="B647" t="s">
        <v>1340</v>
      </c>
      <c r="C647">
        <v>76</v>
      </c>
      <c r="D647" t="s">
        <v>25</v>
      </c>
      <c r="E647" s="1">
        <v>45591</v>
      </c>
      <c r="F647" s="1">
        <v>45603</v>
      </c>
      <c r="G647" t="s">
        <v>94</v>
      </c>
      <c r="H647" t="s">
        <v>73</v>
      </c>
      <c r="I647">
        <v>9721</v>
      </c>
      <c r="J647" t="s">
        <v>34</v>
      </c>
      <c r="K647" t="s">
        <v>49</v>
      </c>
      <c r="L647" t="s">
        <v>78</v>
      </c>
      <c r="M647" t="s">
        <v>29</v>
      </c>
      <c r="N647">
        <v>12</v>
      </c>
      <c r="O647" t="str">
        <f t="shared" si="10"/>
        <v>Extended</v>
      </c>
    </row>
    <row r="648" spans="1:15" x14ac:dyDescent="0.3">
      <c r="A648" t="s">
        <v>1341</v>
      </c>
      <c r="B648" t="s">
        <v>1342</v>
      </c>
      <c r="C648">
        <v>61</v>
      </c>
      <c r="D648" t="s">
        <v>16</v>
      </c>
      <c r="E648" s="1">
        <v>45670</v>
      </c>
      <c r="F648" s="1">
        <v>45677</v>
      </c>
      <c r="G648" t="s">
        <v>94</v>
      </c>
      <c r="H648" t="s">
        <v>58</v>
      </c>
      <c r="I648">
        <v>5242</v>
      </c>
      <c r="J648" t="s">
        <v>34</v>
      </c>
      <c r="K648" t="s">
        <v>20</v>
      </c>
      <c r="L648" t="s">
        <v>78</v>
      </c>
      <c r="M648" t="s">
        <v>50</v>
      </c>
      <c r="N648">
        <v>7</v>
      </c>
      <c r="O648" t="str">
        <f t="shared" si="10"/>
        <v>Extended</v>
      </c>
    </row>
    <row r="649" spans="1:15" x14ac:dyDescent="0.3">
      <c r="A649" t="s">
        <v>1343</v>
      </c>
      <c r="B649" t="s">
        <v>1344</v>
      </c>
      <c r="C649">
        <v>63</v>
      </c>
      <c r="D649" t="s">
        <v>25</v>
      </c>
      <c r="E649" s="1">
        <v>45485</v>
      </c>
      <c r="F649" s="1">
        <v>45495</v>
      </c>
      <c r="G649" t="s">
        <v>26</v>
      </c>
      <c r="H649" t="s">
        <v>58</v>
      </c>
      <c r="I649">
        <v>5829</v>
      </c>
      <c r="J649" t="s">
        <v>34</v>
      </c>
      <c r="K649" t="s">
        <v>35</v>
      </c>
      <c r="L649" t="s">
        <v>28</v>
      </c>
      <c r="M649" t="s">
        <v>50</v>
      </c>
      <c r="N649">
        <v>10</v>
      </c>
      <c r="O649" t="str">
        <f t="shared" si="10"/>
        <v>Extended</v>
      </c>
    </row>
    <row r="650" spans="1:15" x14ac:dyDescent="0.3">
      <c r="A650" t="s">
        <v>1345</v>
      </c>
      <c r="B650" t="s">
        <v>1346</v>
      </c>
      <c r="C650">
        <v>47</v>
      </c>
      <c r="D650" t="s">
        <v>25</v>
      </c>
      <c r="E650" s="1">
        <v>45552</v>
      </c>
      <c r="F650" s="1">
        <v>45553</v>
      </c>
      <c r="G650" t="s">
        <v>17</v>
      </c>
      <c r="H650" t="s">
        <v>53</v>
      </c>
      <c r="I650">
        <v>5654</v>
      </c>
      <c r="J650" t="s">
        <v>19</v>
      </c>
      <c r="K650" t="s">
        <v>133</v>
      </c>
      <c r="L650" t="s">
        <v>45</v>
      </c>
      <c r="M650" t="s">
        <v>29</v>
      </c>
      <c r="N650">
        <v>1</v>
      </c>
      <c r="O650" t="str">
        <f t="shared" si="10"/>
        <v>Normal</v>
      </c>
    </row>
    <row r="651" spans="1:15" x14ac:dyDescent="0.3">
      <c r="A651" t="s">
        <v>1347</v>
      </c>
      <c r="B651" t="s">
        <v>1348</v>
      </c>
      <c r="C651">
        <v>48</v>
      </c>
      <c r="D651" t="s">
        <v>16</v>
      </c>
      <c r="E651" s="1">
        <v>45698</v>
      </c>
      <c r="F651" s="1">
        <v>45699</v>
      </c>
      <c r="G651" t="s">
        <v>66</v>
      </c>
      <c r="H651" t="s">
        <v>58</v>
      </c>
      <c r="I651">
        <v>5123</v>
      </c>
      <c r="J651" t="s">
        <v>19</v>
      </c>
      <c r="K651" t="s">
        <v>54</v>
      </c>
      <c r="L651" t="s">
        <v>78</v>
      </c>
      <c r="M651" t="s">
        <v>22</v>
      </c>
      <c r="N651">
        <v>1</v>
      </c>
      <c r="O651" t="str">
        <f t="shared" si="10"/>
        <v>Normal</v>
      </c>
    </row>
    <row r="652" spans="1:15" x14ac:dyDescent="0.3">
      <c r="A652" t="s">
        <v>1349</v>
      </c>
      <c r="B652" t="s">
        <v>1350</v>
      </c>
      <c r="C652">
        <v>20</v>
      </c>
      <c r="D652" t="s">
        <v>16</v>
      </c>
      <c r="E652" s="1">
        <v>45636</v>
      </c>
      <c r="F652" s="1">
        <v>45641</v>
      </c>
      <c r="G652" t="s">
        <v>32</v>
      </c>
      <c r="H652" t="s">
        <v>58</v>
      </c>
      <c r="I652">
        <v>1732</v>
      </c>
      <c r="J652" t="s">
        <v>34</v>
      </c>
      <c r="K652" t="s">
        <v>40</v>
      </c>
      <c r="L652" t="s">
        <v>45</v>
      </c>
      <c r="M652" t="s">
        <v>22</v>
      </c>
      <c r="N652">
        <v>5</v>
      </c>
      <c r="O652" t="str">
        <f t="shared" si="10"/>
        <v>Extended</v>
      </c>
    </row>
    <row r="653" spans="1:15" x14ac:dyDescent="0.3">
      <c r="A653" t="s">
        <v>1351</v>
      </c>
      <c r="B653" t="s">
        <v>1352</v>
      </c>
      <c r="C653">
        <v>58</v>
      </c>
      <c r="D653" t="s">
        <v>16</v>
      </c>
      <c r="E653" s="1">
        <v>45702</v>
      </c>
      <c r="F653" s="1">
        <v>45707</v>
      </c>
      <c r="G653" t="s">
        <v>26</v>
      </c>
      <c r="H653" t="s">
        <v>27</v>
      </c>
      <c r="I653">
        <v>6924</v>
      </c>
      <c r="J653" t="s">
        <v>19</v>
      </c>
      <c r="K653" t="s">
        <v>133</v>
      </c>
      <c r="L653" t="s">
        <v>45</v>
      </c>
      <c r="M653" t="s">
        <v>50</v>
      </c>
      <c r="N653">
        <v>5</v>
      </c>
      <c r="O653" t="str">
        <f t="shared" si="10"/>
        <v>Extended</v>
      </c>
    </row>
    <row r="654" spans="1:15" x14ac:dyDescent="0.3">
      <c r="A654" t="s">
        <v>1353</v>
      </c>
      <c r="B654" t="s">
        <v>1354</v>
      </c>
      <c r="C654">
        <v>82</v>
      </c>
      <c r="D654" t="s">
        <v>25</v>
      </c>
      <c r="E654" s="1">
        <v>45782</v>
      </c>
      <c r="F654" s="1">
        <v>45793</v>
      </c>
      <c r="G654" t="s">
        <v>26</v>
      </c>
      <c r="H654" t="s">
        <v>39</v>
      </c>
      <c r="I654">
        <v>2287</v>
      </c>
      <c r="J654" t="s">
        <v>34</v>
      </c>
      <c r="K654" t="s">
        <v>133</v>
      </c>
      <c r="L654" t="s">
        <v>78</v>
      </c>
      <c r="M654" t="s">
        <v>50</v>
      </c>
      <c r="N654">
        <v>11</v>
      </c>
      <c r="O654" t="str">
        <f t="shared" si="10"/>
        <v>Extended</v>
      </c>
    </row>
    <row r="655" spans="1:15" x14ac:dyDescent="0.3">
      <c r="A655" t="s">
        <v>1355</v>
      </c>
      <c r="B655" t="s">
        <v>1356</v>
      </c>
      <c r="C655">
        <v>7</v>
      </c>
      <c r="D655" t="s">
        <v>25</v>
      </c>
      <c r="E655" s="1">
        <v>45482</v>
      </c>
      <c r="F655" s="1">
        <v>45489</v>
      </c>
      <c r="G655" t="s">
        <v>17</v>
      </c>
      <c r="H655" t="s">
        <v>53</v>
      </c>
      <c r="I655">
        <v>2494</v>
      </c>
      <c r="J655" t="s">
        <v>19</v>
      </c>
      <c r="K655" t="s">
        <v>20</v>
      </c>
      <c r="L655" t="s">
        <v>36</v>
      </c>
      <c r="M655" t="s">
        <v>22</v>
      </c>
      <c r="N655">
        <v>7</v>
      </c>
      <c r="O655" t="str">
        <f t="shared" si="10"/>
        <v>Extended</v>
      </c>
    </row>
    <row r="656" spans="1:15" x14ac:dyDescent="0.3">
      <c r="A656" t="s">
        <v>1357</v>
      </c>
      <c r="B656" t="s">
        <v>1358</v>
      </c>
      <c r="C656">
        <v>54</v>
      </c>
      <c r="D656" t="s">
        <v>16</v>
      </c>
      <c r="E656" s="1">
        <v>45488</v>
      </c>
      <c r="F656" s="1">
        <v>45499</v>
      </c>
      <c r="G656" t="s">
        <v>32</v>
      </c>
      <c r="H656" t="s">
        <v>73</v>
      </c>
      <c r="I656">
        <v>6767</v>
      </c>
      <c r="J656" t="s">
        <v>34</v>
      </c>
      <c r="K656" t="s">
        <v>40</v>
      </c>
      <c r="L656" t="s">
        <v>78</v>
      </c>
      <c r="M656" t="s">
        <v>50</v>
      </c>
      <c r="N656">
        <v>11</v>
      </c>
      <c r="O656" t="str">
        <f t="shared" si="10"/>
        <v>Extended</v>
      </c>
    </row>
    <row r="657" spans="1:15" x14ac:dyDescent="0.3">
      <c r="A657" t="s">
        <v>1359</v>
      </c>
      <c r="B657" t="s">
        <v>1360</v>
      </c>
      <c r="C657">
        <v>8</v>
      </c>
      <c r="D657" t="s">
        <v>16</v>
      </c>
      <c r="E657" s="1">
        <v>45523</v>
      </c>
      <c r="F657" s="1">
        <v>45530</v>
      </c>
      <c r="G657" t="s">
        <v>66</v>
      </c>
      <c r="H657" t="s">
        <v>73</v>
      </c>
      <c r="I657">
        <v>1441</v>
      </c>
      <c r="J657" t="s">
        <v>19</v>
      </c>
      <c r="K657" t="s">
        <v>20</v>
      </c>
      <c r="L657" t="s">
        <v>78</v>
      </c>
      <c r="M657" t="s">
        <v>50</v>
      </c>
      <c r="N657">
        <v>7</v>
      </c>
      <c r="O657" t="str">
        <f t="shared" si="10"/>
        <v>Extended</v>
      </c>
    </row>
    <row r="658" spans="1:15" x14ac:dyDescent="0.3">
      <c r="A658" t="s">
        <v>1361</v>
      </c>
      <c r="B658" t="s">
        <v>1362</v>
      </c>
      <c r="C658">
        <v>20</v>
      </c>
      <c r="D658" t="s">
        <v>25</v>
      </c>
      <c r="E658" s="1">
        <v>45468</v>
      </c>
      <c r="F658" s="1">
        <v>45476</v>
      </c>
      <c r="G658" t="s">
        <v>62</v>
      </c>
      <c r="H658" t="s">
        <v>63</v>
      </c>
      <c r="I658">
        <v>2167</v>
      </c>
      <c r="J658" t="s">
        <v>19</v>
      </c>
      <c r="K658" t="s">
        <v>40</v>
      </c>
      <c r="L658" t="s">
        <v>28</v>
      </c>
      <c r="M658" t="s">
        <v>22</v>
      </c>
      <c r="N658">
        <v>8</v>
      </c>
      <c r="O658" t="str">
        <f t="shared" si="10"/>
        <v>Extended</v>
      </c>
    </row>
    <row r="659" spans="1:15" x14ac:dyDescent="0.3">
      <c r="A659" t="s">
        <v>1363</v>
      </c>
      <c r="B659" t="s">
        <v>1364</v>
      </c>
      <c r="C659">
        <v>73</v>
      </c>
      <c r="D659" t="s">
        <v>16</v>
      </c>
      <c r="E659" s="1">
        <v>45463</v>
      </c>
      <c r="F659" s="1">
        <v>45476</v>
      </c>
      <c r="G659" t="s">
        <v>94</v>
      </c>
      <c r="H659" t="s">
        <v>27</v>
      </c>
      <c r="I659">
        <v>7956</v>
      </c>
      <c r="J659" t="s">
        <v>19</v>
      </c>
      <c r="K659" t="s">
        <v>35</v>
      </c>
      <c r="L659" t="s">
        <v>28</v>
      </c>
      <c r="M659" t="s">
        <v>29</v>
      </c>
      <c r="N659">
        <v>13</v>
      </c>
      <c r="O659" t="str">
        <f t="shared" si="10"/>
        <v>Extended</v>
      </c>
    </row>
    <row r="660" spans="1:15" x14ac:dyDescent="0.3">
      <c r="A660" t="s">
        <v>1365</v>
      </c>
      <c r="B660" t="s">
        <v>1366</v>
      </c>
      <c r="C660">
        <v>82</v>
      </c>
      <c r="D660" t="s">
        <v>25</v>
      </c>
      <c r="E660" s="1">
        <v>45604</v>
      </c>
      <c r="F660" s="1">
        <v>45613</v>
      </c>
      <c r="G660" t="s">
        <v>32</v>
      </c>
      <c r="H660" t="s">
        <v>58</v>
      </c>
      <c r="I660">
        <v>7673</v>
      </c>
      <c r="J660" t="s">
        <v>19</v>
      </c>
      <c r="K660" t="s">
        <v>49</v>
      </c>
      <c r="L660" t="s">
        <v>45</v>
      </c>
      <c r="M660" t="s">
        <v>29</v>
      </c>
      <c r="N660">
        <v>9</v>
      </c>
      <c r="O660" t="str">
        <f t="shared" si="10"/>
        <v>Extended</v>
      </c>
    </row>
    <row r="661" spans="1:15" x14ac:dyDescent="0.3">
      <c r="A661" t="s">
        <v>1367</v>
      </c>
      <c r="B661" t="s">
        <v>1368</v>
      </c>
      <c r="C661">
        <v>31</v>
      </c>
      <c r="D661" t="s">
        <v>25</v>
      </c>
      <c r="E661" s="1">
        <v>45686</v>
      </c>
      <c r="F661" s="1">
        <v>45691</v>
      </c>
      <c r="G661" t="s">
        <v>43</v>
      </c>
      <c r="H661" t="s">
        <v>33</v>
      </c>
      <c r="I661">
        <v>8401</v>
      </c>
      <c r="J661" t="s">
        <v>34</v>
      </c>
      <c r="K661" t="s">
        <v>133</v>
      </c>
      <c r="L661" t="s">
        <v>55</v>
      </c>
      <c r="M661" t="s">
        <v>22</v>
      </c>
      <c r="N661">
        <v>5</v>
      </c>
      <c r="O661" t="str">
        <f t="shared" si="10"/>
        <v>Extended</v>
      </c>
    </row>
    <row r="662" spans="1:15" x14ac:dyDescent="0.3">
      <c r="A662" t="s">
        <v>1369</v>
      </c>
      <c r="B662" t="s">
        <v>1370</v>
      </c>
      <c r="C662">
        <v>42</v>
      </c>
      <c r="D662" t="s">
        <v>16</v>
      </c>
      <c r="E662" s="1">
        <v>45609</v>
      </c>
      <c r="F662" s="1">
        <v>45621</v>
      </c>
      <c r="G662" t="s">
        <v>66</v>
      </c>
      <c r="H662" t="s">
        <v>18</v>
      </c>
      <c r="I662">
        <v>9215</v>
      </c>
      <c r="J662" t="s">
        <v>34</v>
      </c>
      <c r="K662" t="s">
        <v>54</v>
      </c>
      <c r="L662" t="s">
        <v>78</v>
      </c>
      <c r="M662" t="s">
        <v>29</v>
      </c>
      <c r="N662">
        <v>12</v>
      </c>
      <c r="O662" t="str">
        <f t="shared" si="10"/>
        <v>Extended</v>
      </c>
    </row>
    <row r="663" spans="1:15" x14ac:dyDescent="0.3">
      <c r="A663" t="s">
        <v>1371</v>
      </c>
      <c r="B663" t="s">
        <v>1372</v>
      </c>
      <c r="C663">
        <v>70</v>
      </c>
      <c r="D663" t="s">
        <v>25</v>
      </c>
      <c r="E663" s="1">
        <v>45671</v>
      </c>
      <c r="F663" s="1">
        <v>45679</v>
      </c>
      <c r="G663" t="s">
        <v>43</v>
      </c>
      <c r="H663" t="s">
        <v>73</v>
      </c>
      <c r="I663">
        <v>4345</v>
      </c>
      <c r="J663" t="s">
        <v>34</v>
      </c>
      <c r="K663" t="s">
        <v>49</v>
      </c>
      <c r="L663" t="s">
        <v>45</v>
      </c>
      <c r="M663" t="s">
        <v>22</v>
      </c>
      <c r="N663">
        <v>8</v>
      </c>
      <c r="O663" t="str">
        <f t="shared" si="10"/>
        <v>Extended</v>
      </c>
    </row>
    <row r="664" spans="1:15" x14ac:dyDescent="0.3">
      <c r="A664" t="s">
        <v>1373</v>
      </c>
      <c r="B664" t="s">
        <v>1374</v>
      </c>
      <c r="C664">
        <v>17</v>
      </c>
      <c r="D664" t="s">
        <v>25</v>
      </c>
      <c r="E664" s="1">
        <v>45775</v>
      </c>
      <c r="F664" s="1">
        <v>45789</v>
      </c>
      <c r="G664" t="s">
        <v>26</v>
      </c>
      <c r="H664" t="s">
        <v>63</v>
      </c>
      <c r="I664">
        <v>8981</v>
      </c>
      <c r="J664" t="s">
        <v>19</v>
      </c>
      <c r="K664" t="s">
        <v>35</v>
      </c>
      <c r="L664" t="s">
        <v>59</v>
      </c>
      <c r="M664" t="s">
        <v>29</v>
      </c>
      <c r="N664">
        <v>14</v>
      </c>
      <c r="O664" t="str">
        <f t="shared" si="10"/>
        <v>Extended</v>
      </c>
    </row>
    <row r="665" spans="1:15" x14ac:dyDescent="0.3">
      <c r="A665" t="s">
        <v>1375</v>
      </c>
      <c r="B665" t="s">
        <v>1376</v>
      </c>
      <c r="C665">
        <v>3</v>
      </c>
      <c r="D665" t="s">
        <v>25</v>
      </c>
      <c r="E665" s="1">
        <v>45671</v>
      </c>
      <c r="F665" s="1">
        <v>45678</v>
      </c>
      <c r="G665" t="s">
        <v>62</v>
      </c>
      <c r="H665" t="s">
        <v>73</v>
      </c>
      <c r="I665">
        <v>8367</v>
      </c>
      <c r="J665" t="s">
        <v>34</v>
      </c>
      <c r="K665" t="s">
        <v>133</v>
      </c>
      <c r="L665" t="s">
        <v>55</v>
      </c>
      <c r="M665" t="s">
        <v>22</v>
      </c>
      <c r="N665">
        <v>7</v>
      </c>
      <c r="O665" t="str">
        <f t="shared" si="10"/>
        <v>Extended</v>
      </c>
    </row>
    <row r="666" spans="1:15" x14ac:dyDescent="0.3">
      <c r="A666" t="s">
        <v>1377</v>
      </c>
      <c r="B666" t="s">
        <v>1378</v>
      </c>
      <c r="C666">
        <v>41</v>
      </c>
      <c r="D666" t="s">
        <v>25</v>
      </c>
      <c r="E666" s="1">
        <v>45698</v>
      </c>
      <c r="F666" s="1">
        <v>45706</v>
      </c>
      <c r="G666" t="s">
        <v>32</v>
      </c>
      <c r="H666" t="s">
        <v>48</v>
      </c>
      <c r="I666">
        <v>5925</v>
      </c>
      <c r="J666" t="s">
        <v>19</v>
      </c>
      <c r="K666" t="s">
        <v>54</v>
      </c>
      <c r="L666" t="s">
        <v>21</v>
      </c>
      <c r="M666" t="s">
        <v>22</v>
      </c>
      <c r="N666">
        <v>8</v>
      </c>
      <c r="O666" t="str">
        <f t="shared" si="10"/>
        <v>Extended</v>
      </c>
    </row>
    <row r="667" spans="1:15" x14ac:dyDescent="0.3">
      <c r="A667" t="s">
        <v>1379</v>
      </c>
      <c r="B667" t="s">
        <v>1380</v>
      </c>
      <c r="C667">
        <v>79</v>
      </c>
      <c r="D667" t="s">
        <v>16</v>
      </c>
      <c r="E667" s="1">
        <v>45464</v>
      </c>
      <c r="F667" s="1">
        <v>45476</v>
      </c>
      <c r="G667" t="s">
        <v>17</v>
      </c>
      <c r="H667" t="s">
        <v>53</v>
      </c>
      <c r="I667">
        <v>7260</v>
      </c>
      <c r="J667" t="s">
        <v>34</v>
      </c>
      <c r="K667" t="s">
        <v>20</v>
      </c>
      <c r="L667" t="s">
        <v>59</v>
      </c>
      <c r="M667" t="s">
        <v>22</v>
      </c>
      <c r="N667">
        <v>12</v>
      </c>
      <c r="O667" t="str">
        <f t="shared" si="10"/>
        <v>Extended</v>
      </c>
    </row>
    <row r="668" spans="1:15" x14ac:dyDescent="0.3">
      <c r="A668" t="s">
        <v>1381</v>
      </c>
      <c r="B668" t="s">
        <v>1382</v>
      </c>
      <c r="C668">
        <v>52</v>
      </c>
      <c r="D668" t="s">
        <v>16</v>
      </c>
      <c r="E668" s="1">
        <v>45737</v>
      </c>
      <c r="F668" s="1">
        <v>45741</v>
      </c>
      <c r="G668" t="s">
        <v>32</v>
      </c>
      <c r="H668" t="s">
        <v>48</v>
      </c>
      <c r="I668">
        <v>6644</v>
      </c>
      <c r="J668" t="s">
        <v>19</v>
      </c>
      <c r="K668" t="s">
        <v>40</v>
      </c>
      <c r="L668" t="s">
        <v>21</v>
      </c>
      <c r="M668" t="s">
        <v>50</v>
      </c>
      <c r="N668">
        <v>4</v>
      </c>
      <c r="O668" t="str">
        <f t="shared" si="10"/>
        <v>Extended</v>
      </c>
    </row>
    <row r="669" spans="1:15" x14ac:dyDescent="0.3">
      <c r="A669" t="s">
        <v>1383</v>
      </c>
      <c r="B669" t="s">
        <v>1384</v>
      </c>
      <c r="C669">
        <v>36</v>
      </c>
      <c r="D669" t="s">
        <v>16</v>
      </c>
      <c r="E669" s="1">
        <v>45779</v>
      </c>
      <c r="F669" s="1">
        <v>45781</v>
      </c>
      <c r="G669" t="s">
        <v>94</v>
      </c>
      <c r="H669" t="s">
        <v>63</v>
      </c>
      <c r="I669">
        <v>5515</v>
      </c>
      <c r="J669" t="s">
        <v>19</v>
      </c>
      <c r="K669" t="s">
        <v>133</v>
      </c>
      <c r="L669" t="s">
        <v>78</v>
      </c>
      <c r="M669" t="s">
        <v>50</v>
      </c>
      <c r="N669">
        <v>2</v>
      </c>
      <c r="O669" t="str">
        <f t="shared" si="10"/>
        <v>Normal</v>
      </c>
    </row>
    <row r="670" spans="1:15" x14ac:dyDescent="0.3">
      <c r="A670" t="s">
        <v>1385</v>
      </c>
      <c r="B670" t="s">
        <v>1386</v>
      </c>
      <c r="C670">
        <v>51</v>
      </c>
      <c r="D670" t="s">
        <v>16</v>
      </c>
      <c r="E670" s="1">
        <v>45647</v>
      </c>
      <c r="F670" s="1">
        <v>45660</v>
      </c>
      <c r="G670" t="s">
        <v>94</v>
      </c>
      <c r="H670" t="s">
        <v>73</v>
      </c>
      <c r="I670">
        <v>5130</v>
      </c>
      <c r="J670" t="s">
        <v>19</v>
      </c>
      <c r="K670" t="s">
        <v>49</v>
      </c>
      <c r="L670" t="s">
        <v>59</v>
      </c>
      <c r="M670" t="s">
        <v>29</v>
      </c>
      <c r="N670">
        <v>13</v>
      </c>
      <c r="O670" t="str">
        <f t="shared" si="10"/>
        <v>Extended</v>
      </c>
    </row>
    <row r="671" spans="1:15" x14ac:dyDescent="0.3">
      <c r="A671" t="s">
        <v>1387</v>
      </c>
      <c r="B671" t="s">
        <v>1388</v>
      </c>
      <c r="C671">
        <v>63</v>
      </c>
      <c r="D671" t="s">
        <v>16</v>
      </c>
      <c r="E671" s="1">
        <v>45529</v>
      </c>
      <c r="F671" s="1">
        <v>45541</v>
      </c>
      <c r="G671" t="s">
        <v>43</v>
      </c>
      <c r="H671" t="s">
        <v>53</v>
      </c>
      <c r="I671">
        <v>2070</v>
      </c>
      <c r="J671" t="s">
        <v>19</v>
      </c>
      <c r="K671" t="s">
        <v>54</v>
      </c>
      <c r="L671" t="s">
        <v>55</v>
      </c>
      <c r="M671" t="s">
        <v>29</v>
      </c>
      <c r="N671">
        <v>12</v>
      </c>
      <c r="O671" t="str">
        <f t="shared" si="10"/>
        <v>Extended</v>
      </c>
    </row>
    <row r="672" spans="1:15" x14ac:dyDescent="0.3">
      <c r="A672" t="s">
        <v>1389</v>
      </c>
      <c r="B672" t="s">
        <v>1390</v>
      </c>
      <c r="C672">
        <v>24</v>
      </c>
      <c r="D672" t="s">
        <v>25</v>
      </c>
      <c r="E672" s="1">
        <v>45626</v>
      </c>
      <c r="F672" s="1">
        <v>45632</v>
      </c>
      <c r="G672" t="s">
        <v>62</v>
      </c>
      <c r="H672" t="s">
        <v>39</v>
      </c>
      <c r="I672">
        <v>8537</v>
      </c>
      <c r="J672" t="s">
        <v>34</v>
      </c>
      <c r="K672" t="s">
        <v>44</v>
      </c>
      <c r="L672" t="s">
        <v>21</v>
      </c>
      <c r="M672" t="s">
        <v>22</v>
      </c>
      <c r="N672">
        <v>6</v>
      </c>
      <c r="O672" t="str">
        <f t="shared" si="10"/>
        <v>Extended</v>
      </c>
    </row>
    <row r="673" spans="1:15" x14ac:dyDescent="0.3">
      <c r="A673" t="s">
        <v>1391</v>
      </c>
      <c r="B673" t="s">
        <v>1392</v>
      </c>
      <c r="C673">
        <v>23</v>
      </c>
      <c r="D673" t="s">
        <v>25</v>
      </c>
      <c r="E673" s="1">
        <v>45562</v>
      </c>
      <c r="F673" s="1">
        <v>45570</v>
      </c>
      <c r="G673" t="s">
        <v>43</v>
      </c>
      <c r="H673" t="s">
        <v>63</v>
      </c>
      <c r="I673">
        <v>4758</v>
      </c>
      <c r="J673" t="s">
        <v>19</v>
      </c>
      <c r="K673" t="s">
        <v>44</v>
      </c>
      <c r="L673" t="s">
        <v>59</v>
      </c>
      <c r="M673" t="s">
        <v>22</v>
      </c>
      <c r="N673">
        <v>8</v>
      </c>
      <c r="O673" t="str">
        <f t="shared" si="10"/>
        <v>Extended</v>
      </c>
    </row>
    <row r="674" spans="1:15" x14ac:dyDescent="0.3">
      <c r="A674" t="s">
        <v>1393</v>
      </c>
      <c r="B674" t="s">
        <v>1394</v>
      </c>
      <c r="C674">
        <v>10</v>
      </c>
      <c r="D674" t="s">
        <v>16</v>
      </c>
      <c r="E674" s="1">
        <v>45768</v>
      </c>
      <c r="F674" s="1">
        <v>45776</v>
      </c>
      <c r="G674" t="s">
        <v>94</v>
      </c>
      <c r="H674" t="s">
        <v>53</v>
      </c>
      <c r="I674">
        <v>5749</v>
      </c>
      <c r="J674" t="s">
        <v>19</v>
      </c>
      <c r="K674" t="s">
        <v>49</v>
      </c>
      <c r="L674" t="s">
        <v>21</v>
      </c>
      <c r="M674" t="s">
        <v>29</v>
      </c>
      <c r="N674">
        <v>8</v>
      </c>
      <c r="O674" t="str">
        <f t="shared" si="10"/>
        <v>Extended</v>
      </c>
    </row>
    <row r="675" spans="1:15" x14ac:dyDescent="0.3">
      <c r="A675" t="s">
        <v>1395</v>
      </c>
      <c r="B675" t="s">
        <v>1396</v>
      </c>
      <c r="C675">
        <v>43</v>
      </c>
      <c r="D675" t="s">
        <v>16</v>
      </c>
      <c r="E675" s="1">
        <v>45461</v>
      </c>
      <c r="F675" s="1">
        <v>45475</v>
      </c>
      <c r="G675" t="s">
        <v>62</v>
      </c>
      <c r="H675" t="s">
        <v>53</v>
      </c>
      <c r="I675">
        <v>4400</v>
      </c>
      <c r="J675" t="s">
        <v>34</v>
      </c>
      <c r="K675" t="s">
        <v>44</v>
      </c>
      <c r="L675" t="s">
        <v>55</v>
      </c>
      <c r="M675" t="s">
        <v>50</v>
      </c>
      <c r="N675">
        <v>14</v>
      </c>
      <c r="O675" t="str">
        <f t="shared" si="10"/>
        <v>Extended</v>
      </c>
    </row>
    <row r="676" spans="1:15" x14ac:dyDescent="0.3">
      <c r="A676" t="s">
        <v>1397</v>
      </c>
      <c r="B676" t="s">
        <v>1398</v>
      </c>
      <c r="C676">
        <v>33</v>
      </c>
      <c r="D676" t="s">
        <v>25</v>
      </c>
      <c r="E676" s="1">
        <v>45722</v>
      </c>
      <c r="F676" s="1">
        <v>45723</v>
      </c>
      <c r="G676" t="s">
        <v>62</v>
      </c>
      <c r="H676" t="s">
        <v>63</v>
      </c>
      <c r="I676">
        <v>8716</v>
      </c>
      <c r="J676" t="s">
        <v>19</v>
      </c>
      <c r="K676" t="s">
        <v>40</v>
      </c>
      <c r="L676" t="s">
        <v>36</v>
      </c>
      <c r="M676" t="s">
        <v>50</v>
      </c>
      <c r="N676">
        <v>1</v>
      </c>
      <c r="O676" t="str">
        <f t="shared" si="10"/>
        <v>Normal</v>
      </c>
    </row>
    <row r="677" spans="1:15" x14ac:dyDescent="0.3">
      <c r="A677" t="s">
        <v>1399</v>
      </c>
      <c r="B677" t="s">
        <v>1400</v>
      </c>
      <c r="C677">
        <v>40</v>
      </c>
      <c r="D677" t="s">
        <v>25</v>
      </c>
      <c r="E677" s="1">
        <v>45633</v>
      </c>
      <c r="F677" s="1">
        <v>45635</v>
      </c>
      <c r="G677" t="s">
        <v>62</v>
      </c>
      <c r="H677" t="s">
        <v>48</v>
      </c>
      <c r="I677">
        <v>3144</v>
      </c>
      <c r="J677" t="s">
        <v>34</v>
      </c>
      <c r="K677" t="s">
        <v>44</v>
      </c>
      <c r="L677" t="s">
        <v>36</v>
      </c>
      <c r="M677" t="s">
        <v>29</v>
      </c>
      <c r="N677">
        <v>2</v>
      </c>
      <c r="O677" t="str">
        <f t="shared" si="10"/>
        <v>Normal</v>
      </c>
    </row>
    <row r="678" spans="1:15" x14ac:dyDescent="0.3">
      <c r="A678" t="s">
        <v>1401</v>
      </c>
      <c r="B678" t="s">
        <v>1056</v>
      </c>
      <c r="C678">
        <v>43</v>
      </c>
      <c r="D678" t="s">
        <v>16</v>
      </c>
      <c r="E678" s="1">
        <v>45737</v>
      </c>
      <c r="F678" s="1">
        <v>45738</v>
      </c>
      <c r="G678" t="s">
        <v>62</v>
      </c>
      <c r="H678" t="s">
        <v>63</v>
      </c>
      <c r="I678">
        <v>7065</v>
      </c>
      <c r="J678" t="s">
        <v>34</v>
      </c>
      <c r="K678" t="s">
        <v>20</v>
      </c>
      <c r="L678" t="s">
        <v>21</v>
      </c>
      <c r="M678" t="s">
        <v>29</v>
      </c>
      <c r="N678">
        <v>1</v>
      </c>
      <c r="O678" t="str">
        <f t="shared" si="10"/>
        <v>Normal</v>
      </c>
    </row>
    <row r="679" spans="1:15" x14ac:dyDescent="0.3">
      <c r="A679" t="s">
        <v>1402</v>
      </c>
      <c r="B679" t="s">
        <v>1403</v>
      </c>
      <c r="C679">
        <v>45</v>
      </c>
      <c r="D679" t="s">
        <v>25</v>
      </c>
      <c r="E679" s="1">
        <v>45484</v>
      </c>
      <c r="F679" s="1">
        <v>45497</v>
      </c>
      <c r="G679" t="s">
        <v>43</v>
      </c>
      <c r="H679" t="s">
        <v>89</v>
      </c>
      <c r="I679">
        <v>7158</v>
      </c>
      <c r="J679" t="s">
        <v>34</v>
      </c>
      <c r="K679" t="s">
        <v>40</v>
      </c>
      <c r="L679" t="s">
        <v>55</v>
      </c>
      <c r="M679" t="s">
        <v>22</v>
      </c>
      <c r="N679">
        <v>13</v>
      </c>
      <c r="O679" t="str">
        <f t="shared" si="10"/>
        <v>Extended</v>
      </c>
    </row>
    <row r="680" spans="1:15" x14ac:dyDescent="0.3">
      <c r="A680" t="s">
        <v>1404</v>
      </c>
      <c r="B680" t="s">
        <v>1405</v>
      </c>
      <c r="C680">
        <v>81</v>
      </c>
      <c r="D680" t="s">
        <v>25</v>
      </c>
      <c r="E680" s="1">
        <v>45498</v>
      </c>
      <c r="F680" s="1">
        <v>45507</v>
      </c>
      <c r="G680" t="s">
        <v>17</v>
      </c>
      <c r="H680" t="s">
        <v>73</v>
      </c>
      <c r="I680">
        <v>2257</v>
      </c>
      <c r="J680" t="s">
        <v>19</v>
      </c>
      <c r="K680" t="s">
        <v>35</v>
      </c>
      <c r="L680" t="s">
        <v>55</v>
      </c>
      <c r="M680" t="s">
        <v>50</v>
      </c>
      <c r="N680">
        <v>9</v>
      </c>
      <c r="O680" t="str">
        <f t="shared" si="10"/>
        <v>Extended</v>
      </c>
    </row>
    <row r="681" spans="1:15" x14ac:dyDescent="0.3">
      <c r="A681" t="s">
        <v>1406</v>
      </c>
      <c r="B681" t="s">
        <v>1407</v>
      </c>
      <c r="C681">
        <v>14</v>
      </c>
      <c r="D681" t="s">
        <v>25</v>
      </c>
      <c r="E681" s="1">
        <v>45619</v>
      </c>
      <c r="F681" s="1">
        <v>45631</v>
      </c>
      <c r="G681" t="s">
        <v>26</v>
      </c>
      <c r="H681" t="s">
        <v>53</v>
      </c>
      <c r="I681">
        <v>3750</v>
      </c>
      <c r="J681" t="s">
        <v>19</v>
      </c>
      <c r="K681" t="s">
        <v>40</v>
      </c>
      <c r="L681" t="s">
        <v>78</v>
      </c>
      <c r="M681" t="s">
        <v>22</v>
      </c>
      <c r="N681">
        <v>12</v>
      </c>
      <c r="O681" t="str">
        <f t="shared" si="10"/>
        <v>Extended</v>
      </c>
    </row>
    <row r="682" spans="1:15" x14ac:dyDescent="0.3">
      <c r="A682" t="s">
        <v>1408</v>
      </c>
      <c r="B682" t="s">
        <v>1409</v>
      </c>
      <c r="C682">
        <v>49</v>
      </c>
      <c r="D682" t="s">
        <v>16</v>
      </c>
      <c r="E682" s="1">
        <v>45547</v>
      </c>
      <c r="F682" s="1">
        <v>45557</v>
      </c>
      <c r="G682" t="s">
        <v>43</v>
      </c>
      <c r="H682" t="s">
        <v>89</v>
      </c>
      <c r="I682">
        <v>4266</v>
      </c>
      <c r="J682" t="s">
        <v>34</v>
      </c>
      <c r="K682" t="s">
        <v>49</v>
      </c>
      <c r="L682" t="s">
        <v>36</v>
      </c>
      <c r="M682" t="s">
        <v>29</v>
      </c>
      <c r="N682">
        <v>10</v>
      </c>
      <c r="O682" t="str">
        <f t="shared" si="10"/>
        <v>Extended</v>
      </c>
    </row>
    <row r="683" spans="1:15" x14ac:dyDescent="0.3">
      <c r="A683" t="s">
        <v>1410</v>
      </c>
      <c r="B683" t="s">
        <v>1411</v>
      </c>
      <c r="C683">
        <v>10</v>
      </c>
      <c r="D683" t="s">
        <v>25</v>
      </c>
      <c r="E683" s="1">
        <v>45603</v>
      </c>
      <c r="F683" s="1">
        <v>45617</v>
      </c>
      <c r="G683" t="s">
        <v>32</v>
      </c>
      <c r="H683" t="s">
        <v>33</v>
      </c>
      <c r="I683">
        <v>8798</v>
      </c>
      <c r="J683" t="s">
        <v>19</v>
      </c>
      <c r="K683" t="s">
        <v>54</v>
      </c>
      <c r="L683" t="s">
        <v>36</v>
      </c>
      <c r="M683" t="s">
        <v>29</v>
      </c>
      <c r="N683">
        <v>14</v>
      </c>
      <c r="O683" t="str">
        <f t="shared" si="10"/>
        <v>Extended</v>
      </c>
    </row>
    <row r="684" spans="1:15" x14ac:dyDescent="0.3">
      <c r="A684" t="s">
        <v>1412</v>
      </c>
      <c r="B684" t="s">
        <v>1413</v>
      </c>
      <c r="C684">
        <v>63</v>
      </c>
      <c r="D684" t="s">
        <v>25</v>
      </c>
      <c r="E684" s="1">
        <v>45735</v>
      </c>
      <c r="F684" s="1">
        <v>45736</v>
      </c>
      <c r="G684" t="s">
        <v>26</v>
      </c>
      <c r="H684" t="s">
        <v>73</v>
      </c>
      <c r="I684">
        <v>2200</v>
      </c>
      <c r="J684" t="s">
        <v>34</v>
      </c>
      <c r="K684" t="s">
        <v>54</v>
      </c>
      <c r="L684" t="s">
        <v>36</v>
      </c>
      <c r="M684" t="s">
        <v>22</v>
      </c>
      <c r="N684">
        <v>1</v>
      </c>
      <c r="O684" t="str">
        <f t="shared" si="10"/>
        <v>Normal</v>
      </c>
    </row>
    <row r="685" spans="1:15" x14ac:dyDescent="0.3">
      <c r="A685" t="s">
        <v>1414</v>
      </c>
      <c r="B685" t="s">
        <v>1415</v>
      </c>
      <c r="C685">
        <v>66</v>
      </c>
      <c r="D685" t="s">
        <v>16</v>
      </c>
      <c r="E685" s="1">
        <v>45649</v>
      </c>
      <c r="F685" s="1">
        <v>45650</v>
      </c>
      <c r="G685" t="s">
        <v>26</v>
      </c>
      <c r="H685" t="s">
        <v>33</v>
      </c>
      <c r="I685">
        <v>9332</v>
      </c>
      <c r="J685" t="s">
        <v>34</v>
      </c>
      <c r="K685" t="s">
        <v>133</v>
      </c>
      <c r="L685" t="s">
        <v>28</v>
      </c>
      <c r="M685" t="s">
        <v>29</v>
      </c>
      <c r="N685">
        <v>1</v>
      </c>
      <c r="O685" t="str">
        <f t="shared" si="10"/>
        <v>Normal</v>
      </c>
    </row>
    <row r="686" spans="1:15" x14ac:dyDescent="0.3">
      <c r="A686" t="s">
        <v>1416</v>
      </c>
      <c r="B686" t="s">
        <v>1417</v>
      </c>
      <c r="C686">
        <v>32</v>
      </c>
      <c r="D686" t="s">
        <v>25</v>
      </c>
      <c r="E686" s="1">
        <v>45629</v>
      </c>
      <c r="F686" s="1">
        <v>45643</v>
      </c>
      <c r="G686" t="s">
        <v>17</v>
      </c>
      <c r="H686" t="s">
        <v>73</v>
      </c>
      <c r="I686">
        <v>7041</v>
      </c>
      <c r="J686" t="s">
        <v>34</v>
      </c>
      <c r="K686" t="s">
        <v>54</v>
      </c>
      <c r="L686" t="s">
        <v>21</v>
      </c>
      <c r="M686" t="s">
        <v>29</v>
      </c>
      <c r="N686">
        <v>14</v>
      </c>
      <c r="O686" t="str">
        <f t="shared" si="10"/>
        <v>Extended</v>
      </c>
    </row>
    <row r="687" spans="1:15" x14ac:dyDescent="0.3">
      <c r="A687" t="s">
        <v>1418</v>
      </c>
      <c r="B687" t="s">
        <v>1419</v>
      </c>
      <c r="C687">
        <v>54</v>
      </c>
      <c r="D687" t="s">
        <v>16</v>
      </c>
      <c r="E687" s="1">
        <v>45526</v>
      </c>
      <c r="F687" s="1">
        <v>45535</v>
      </c>
      <c r="G687" t="s">
        <v>32</v>
      </c>
      <c r="H687" t="s">
        <v>33</v>
      </c>
      <c r="I687">
        <v>5841</v>
      </c>
      <c r="J687" t="s">
        <v>19</v>
      </c>
      <c r="K687" t="s">
        <v>133</v>
      </c>
      <c r="L687" t="s">
        <v>36</v>
      </c>
      <c r="M687" t="s">
        <v>50</v>
      </c>
      <c r="N687">
        <v>9</v>
      </c>
      <c r="O687" t="str">
        <f t="shared" si="10"/>
        <v>Extended</v>
      </c>
    </row>
    <row r="688" spans="1:15" x14ac:dyDescent="0.3">
      <c r="A688" t="s">
        <v>1420</v>
      </c>
      <c r="B688" t="s">
        <v>1421</v>
      </c>
      <c r="C688">
        <v>51</v>
      </c>
      <c r="D688" t="s">
        <v>25</v>
      </c>
      <c r="E688" s="1">
        <v>45797</v>
      </c>
      <c r="F688" s="1">
        <v>45804</v>
      </c>
      <c r="G688" t="s">
        <v>32</v>
      </c>
      <c r="H688" t="s">
        <v>18</v>
      </c>
      <c r="I688">
        <v>7698</v>
      </c>
      <c r="J688" t="s">
        <v>34</v>
      </c>
      <c r="K688" t="s">
        <v>44</v>
      </c>
      <c r="L688" t="s">
        <v>55</v>
      </c>
      <c r="M688" t="s">
        <v>29</v>
      </c>
      <c r="N688">
        <v>7</v>
      </c>
      <c r="O688" t="str">
        <f t="shared" si="10"/>
        <v>Extended</v>
      </c>
    </row>
    <row r="689" spans="1:15" x14ac:dyDescent="0.3">
      <c r="A689" t="s">
        <v>1422</v>
      </c>
      <c r="B689" t="s">
        <v>1423</v>
      </c>
      <c r="C689">
        <v>27</v>
      </c>
      <c r="D689" t="s">
        <v>25</v>
      </c>
      <c r="E689" s="1">
        <v>45683</v>
      </c>
      <c r="F689" s="1">
        <v>45696</v>
      </c>
      <c r="G689" t="s">
        <v>62</v>
      </c>
      <c r="H689" t="s">
        <v>18</v>
      </c>
      <c r="I689">
        <v>6722</v>
      </c>
      <c r="J689" t="s">
        <v>34</v>
      </c>
      <c r="K689" t="s">
        <v>35</v>
      </c>
      <c r="L689" t="s">
        <v>45</v>
      </c>
      <c r="M689" t="s">
        <v>29</v>
      </c>
      <c r="N689">
        <v>13</v>
      </c>
      <c r="O689" t="str">
        <f t="shared" si="10"/>
        <v>Extended</v>
      </c>
    </row>
    <row r="690" spans="1:15" x14ac:dyDescent="0.3">
      <c r="A690" t="s">
        <v>1424</v>
      </c>
      <c r="B690" t="s">
        <v>1425</v>
      </c>
      <c r="C690">
        <v>66</v>
      </c>
      <c r="D690" t="s">
        <v>25</v>
      </c>
      <c r="E690" s="1">
        <v>45632</v>
      </c>
      <c r="F690" s="1">
        <v>45637</v>
      </c>
      <c r="G690" t="s">
        <v>66</v>
      </c>
      <c r="H690" t="s">
        <v>33</v>
      </c>
      <c r="I690">
        <v>2736</v>
      </c>
      <c r="J690" t="s">
        <v>19</v>
      </c>
      <c r="K690" t="s">
        <v>40</v>
      </c>
      <c r="L690" t="s">
        <v>45</v>
      </c>
      <c r="M690" t="s">
        <v>22</v>
      </c>
      <c r="N690">
        <v>5</v>
      </c>
      <c r="O690" t="str">
        <f t="shared" si="10"/>
        <v>Extended</v>
      </c>
    </row>
    <row r="691" spans="1:15" x14ac:dyDescent="0.3">
      <c r="A691" t="s">
        <v>1426</v>
      </c>
      <c r="B691" t="s">
        <v>1427</v>
      </c>
      <c r="C691">
        <v>17</v>
      </c>
      <c r="D691" t="s">
        <v>16</v>
      </c>
      <c r="E691" s="1">
        <v>45572</v>
      </c>
      <c r="F691" s="1">
        <v>45576</v>
      </c>
      <c r="G691" t="s">
        <v>66</v>
      </c>
      <c r="H691" t="s">
        <v>58</v>
      </c>
      <c r="I691">
        <v>6753</v>
      </c>
      <c r="J691" t="s">
        <v>34</v>
      </c>
      <c r="K691" t="s">
        <v>40</v>
      </c>
      <c r="L691" t="s">
        <v>21</v>
      </c>
      <c r="M691" t="s">
        <v>50</v>
      </c>
      <c r="N691">
        <v>4</v>
      </c>
      <c r="O691" t="str">
        <f t="shared" si="10"/>
        <v>Extended</v>
      </c>
    </row>
    <row r="692" spans="1:15" x14ac:dyDescent="0.3">
      <c r="A692" t="s">
        <v>1428</v>
      </c>
      <c r="B692" t="s">
        <v>197</v>
      </c>
      <c r="C692">
        <v>28</v>
      </c>
      <c r="D692" t="s">
        <v>25</v>
      </c>
      <c r="E692" s="1">
        <v>45507</v>
      </c>
      <c r="F692" s="1">
        <v>45514</v>
      </c>
      <c r="G692" t="s">
        <v>17</v>
      </c>
      <c r="H692" t="s">
        <v>27</v>
      </c>
      <c r="I692">
        <v>9411</v>
      </c>
      <c r="J692" t="s">
        <v>34</v>
      </c>
      <c r="K692" t="s">
        <v>44</v>
      </c>
      <c r="L692" t="s">
        <v>21</v>
      </c>
      <c r="M692" t="s">
        <v>22</v>
      </c>
      <c r="N692">
        <v>7</v>
      </c>
      <c r="O692" t="str">
        <f t="shared" si="10"/>
        <v>Extended</v>
      </c>
    </row>
    <row r="693" spans="1:15" x14ac:dyDescent="0.3">
      <c r="A693" t="s">
        <v>1429</v>
      </c>
      <c r="B693" t="s">
        <v>1430</v>
      </c>
      <c r="C693">
        <v>63</v>
      </c>
      <c r="D693" t="s">
        <v>25</v>
      </c>
      <c r="E693" s="1">
        <v>45647</v>
      </c>
      <c r="F693" s="1">
        <v>45651</v>
      </c>
      <c r="G693" t="s">
        <v>26</v>
      </c>
      <c r="H693" t="s">
        <v>89</v>
      </c>
      <c r="I693">
        <v>6087</v>
      </c>
      <c r="J693" t="s">
        <v>34</v>
      </c>
      <c r="K693" t="s">
        <v>20</v>
      </c>
      <c r="L693" t="s">
        <v>59</v>
      </c>
      <c r="M693" t="s">
        <v>29</v>
      </c>
      <c r="N693">
        <v>4</v>
      </c>
      <c r="O693" t="str">
        <f t="shared" si="10"/>
        <v>Extended</v>
      </c>
    </row>
    <row r="694" spans="1:15" x14ac:dyDescent="0.3">
      <c r="A694" t="s">
        <v>1431</v>
      </c>
      <c r="B694" t="s">
        <v>1432</v>
      </c>
      <c r="C694">
        <v>15</v>
      </c>
      <c r="D694" t="s">
        <v>25</v>
      </c>
      <c r="E694" s="1">
        <v>45463</v>
      </c>
      <c r="F694" s="1">
        <v>45471</v>
      </c>
      <c r="G694" t="s">
        <v>66</v>
      </c>
      <c r="H694" t="s">
        <v>27</v>
      </c>
      <c r="I694">
        <v>7387</v>
      </c>
      <c r="J694" t="s">
        <v>34</v>
      </c>
      <c r="K694" t="s">
        <v>40</v>
      </c>
      <c r="L694" t="s">
        <v>55</v>
      </c>
      <c r="M694" t="s">
        <v>22</v>
      </c>
      <c r="N694">
        <v>8</v>
      </c>
      <c r="O694" t="str">
        <f t="shared" si="10"/>
        <v>Extended</v>
      </c>
    </row>
    <row r="695" spans="1:15" x14ac:dyDescent="0.3">
      <c r="A695" t="s">
        <v>1433</v>
      </c>
      <c r="B695" t="s">
        <v>1434</v>
      </c>
      <c r="C695">
        <v>37</v>
      </c>
      <c r="D695" t="s">
        <v>25</v>
      </c>
      <c r="E695" s="1">
        <v>45608</v>
      </c>
      <c r="F695" s="1">
        <v>45615</v>
      </c>
      <c r="G695" t="s">
        <v>94</v>
      </c>
      <c r="H695" t="s">
        <v>73</v>
      </c>
      <c r="I695">
        <v>9927</v>
      </c>
      <c r="J695" t="s">
        <v>34</v>
      </c>
      <c r="K695" t="s">
        <v>40</v>
      </c>
      <c r="L695" t="s">
        <v>28</v>
      </c>
      <c r="M695" t="s">
        <v>50</v>
      </c>
      <c r="N695">
        <v>7</v>
      </c>
      <c r="O695" t="str">
        <f t="shared" si="10"/>
        <v>Extended</v>
      </c>
    </row>
    <row r="696" spans="1:15" x14ac:dyDescent="0.3">
      <c r="A696" t="s">
        <v>1435</v>
      </c>
      <c r="B696" t="s">
        <v>1436</v>
      </c>
      <c r="C696">
        <v>29</v>
      </c>
      <c r="D696" t="s">
        <v>16</v>
      </c>
      <c r="E696" s="1">
        <v>45687</v>
      </c>
      <c r="F696" s="1">
        <v>45697</v>
      </c>
      <c r="G696" t="s">
        <v>17</v>
      </c>
      <c r="H696" t="s">
        <v>27</v>
      </c>
      <c r="I696">
        <v>7675</v>
      </c>
      <c r="J696" t="s">
        <v>34</v>
      </c>
      <c r="K696" t="s">
        <v>49</v>
      </c>
      <c r="L696" t="s">
        <v>28</v>
      </c>
      <c r="M696" t="s">
        <v>22</v>
      </c>
      <c r="N696">
        <v>10</v>
      </c>
      <c r="O696" t="str">
        <f t="shared" si="10"/>
        <v>Extended</v>
      </c>
    </row>
    <row r="697" spans="1:15" x14ac:dyDescent="0.3">
      <c r="A697" t="s">
        <v>1437</v>
      </c>
      <c r="B697" t="s">
        <v>1438</v>
      </c>
      <c r="C697">
        <v>29</v>
      </c>
      <c r="D697" t="s">
        <v>16</v>
      </c>
      <c r="E697" s="1">
        <v>45751</v>
      </c>
      <c r="F697" s="1">
        <v>45753</v>
      </c>
      <c r="G697" t="s">
        <v>43</v>
      </c>
      <c r="H697" t="s">
        <v>58</v>
      </c>
      <c r="I697">
        <v>5670</v>
      </c>
      <c r="J697" t="s">
        <v>19</v>
      </c>
      <c r="K697" t="s">
        <v>35</v>
      </c>
      <c r="L697" t="s">
        <v>45</v>
      </c>
      <c r="M697" t="s">
        <v>50</v>
      </c>
      <c r="N697">
        <v>2</v>
      </c>
      <c r="O697" t="str">
        <f t="shared" si="10"/>
        <v>Normal</v>
      </c>
    </row>
    <row r="698" spans="1:15" x14ac:dyDescent="0.3">
      <c r="A698" t="s">
        <v>1439</v>
      </c>
      <c r="B698" t="s">
        <v>1440</v>
      </c>
      <c r="C698">
        <v>70</v>
      </c>
      <c r="D698" t="s">
        <v>25</v>
      </c>
      <c r="E698" s="1">
        <v>45616</v>
      </c>
      <c r="F698" s="1">
        <v>45618</v>
      </c>
      <c r="G698" t="s">
        <v>17</v>
      </c>
      <c r="H698" t="s">
        <v>63</v>
      </c>
      <c r="I698">
        <v>3705</v>
      </c>
      <c r="J698" t="s">
        <v>34</v>
      </c>
      <c r="K698" t="s">
        <v>49</v>
      </c>
      <c r="L698" t="s">
        <v>55</v>
      </c>
      <c r="M698" t="s">
        <v>22</v>
      </c>
      <c r="N698">
        <v>2</v>
      </c>
      <c r="O698" t="str">
        <f t="shared" si="10"/>
        <v>Normal</v>
      </c>
    </row>
    <row r="699" spans="1:15" x14ac:dyDescent="0.3">
      <c r="A699" t="s">
        <v>1441</v>
      </c>
      <c r="B699" t="s">
        <v>1442</v>
      </c>
      <c r="C699">
        <v>6</v>
      </c>
      <c r="D699" t="s">
        <v>16</v>
      </c>
      <c r="E699" s="1">
        <v>45635</v>
      </c>
      <c r="F699" s="1">
        <v>45638</v>
      </c>
      <c r="G699" t="s">
        <v>32</v>
      </c>
      <c r="H699" t="s">
        <v>33</v>
      </c>
      <c r="I699">
        <v>3472</v>
      </c>
      <c r="J699" t="s">
        <v>34</v>
      </c>
      <c r="K699" t="s">
        <v>133</v>
      </c>
      <c r="L699" t="s">
        <v>28</v>
      </c>
      <c r="M699" t="s">
        <v>50</v>
      </c>
      <c r="N699">
        <v>3</v>
      </c>
      <c r="O699" t="str">
        <f t="shared" si="10"/>
        <v>Normal</v>
      </c>
    </row>
    <row r="700" spans="1:15" x14ac:dyDescent="0.3">
      <c r="A700" t="s">
        <v>1443</v>
      </c>
      <c r="B700" t="s">
        <v>1444</v>
      </c>
      <c r="C700">
        <v>65</v>
      </c>
      <c r="D700" t="s">
        <v>25</v>
      </c>
      <c r="E700" s="1">
        <v>45571</v>
      </c>
      <c r="F700" s="1">
        <v>45573</v>
      </c>
      <c r="G700" t="s">
        <v>62</v>
      </c>
      <c r="H700" t="s">
        <v>89</v>
      </c>
      <c r="I700">
        <v>6926</v>
      </c>
      <c r="J700" t="s">
        <v>34</v>
      </c>
      <c r="K700" t="s">
        <v>133</v>
      </c>
      <c r="L700" t="s">
        <v>36</v>
      </c>
      <c r="M700" t="s">
        <v>50</v>
      </c>
      <c r="N700">
        <v>2</v>
      </c>
      <c r="O700" t="str">
        <f t="shared" si="10"/>
        <v>Normal</v>
      </c>
    </row>
    <row r="701" spans="1:15" x14ac:dyDescent="0.3">
      <c r="A701" t="s">
        <v>1445</v>
      </c>
      <c r="B701" t="s">
        <v>1446</v>
      </c>
      <c r="C701">
        <v>57</v>
      </c>
      <c r="D701" t="s">
        <v>16</v>
      </c>
      <c r="E701" s="1">
        <v>45636</v>
      </c>
      <c r="F701" s="1">
        <v>45644</v>
      </c>
      <c r="G701" t="s">
        <v>66</v>
      </c>
      <c r="H701" t="s">
        <v>33</v>
      </c>
      <c r="I701">
        <v>8469</v>
      </c>
      <c r="J701" t="s">
        <v>19</v>
      </c>
      <c r="K701" t="s">
        <v>133</v>
      </c>
      <c r="L701" t="s">
        <v>59</v>
      </c>
      <c r="M701" t="s">
        <v>22</v>
      </c>
      <c r="N701">
        <v>8</v>
      </c>
      <c r="O701" t="str">
        <f t="shared" si="10"/>
        <v>Extended</v>
      </c>
    </row>
    <row r="702" spans="1:15" x14ac:dyDescent="0.3">
      <c r="A702" t="s">
        <v>1447</v>
      </c>
      <c r="B702" t="s">
        <v>1448</v>
      </c>
      <c r="C702">
        <v>11</v>
      </c>
      <c r="D702" t="s">
        <v>16</v>
      </c>
      <c r="E702" s="1">
        <v>45614</v>
      </c>
      <c r="F702" s="1">
        <v>45624</v>
      </c>
      <c r="G702" t="s">
        <v>66</v>
      </c>
      <c r="H702" t="s">
        <v>89</v>
      </c>
      <c r="I702">
        <v>7578</v>
      </c>
      <c r="J702" t="s">
        <v>19</v>
      </c>
      <c r="K702" t="s">
        <v>49</v>
      </c>
      <c r="L702" t="s">
        <v>45</v>
      </c>
      <c r="M702" t="s">
        <v>22</v>
      </c>
      <c r="N702">
        <v>10</v>
      </c>
      <c r="O702" t="str">
        <f t="shared" si="10"/>
        <v>Extended</v>
      </c>
    </row>
    <row r="703" spans="1:15" x14ac:dyDescent="0.3">
      <c r="A703" t="s">
        <v>1449</v>
      </c>
      <c r="B703" t="s">
        <v>1450</v>
      </c>
      <c r="C703">
        <v>31</v>
      </c>
      <c r="D703" t="s">
        <v>16</v>
      </c>
      <c r="E703" s="1">
        <v>45732</v>
      </c>
      <c r="F703" s="1">
        <v>45735</v>
      </c>
      <c r="G703" t="s">
        <v>43</v>
      </c>
      <c r="H703" t="s">
        <v>33</v>
      </c>
      <c r="I703">
        <v>6005</v>
      </c>
      <c r="J703" t="s">
        <v>34</v>
      </c>
      <c r="K703" t="s">
        <v>54</v>
      </c>
      <c r="L703" t="s">
        <v>45</v>
      </c>
      <c r="M703" t="s">
        <v>22</v>
      </c>
      <c r="N703">
        <v>3</v>
      </c>
      <c r="O703" t="str">
        <f t="shared" si="10"/>
        <v>Normal</v>
      </c>
    </row>
    <row r="704" spans="1:15" x14ac:dyDescent="0.3">
      <c r="A704" t="s">
        <v>1451</v>
      </c>
      <c r="B704" t="s">
        <v>1452</v>
      </c>
      <c r="C704">
        <v>89</v>
      </c>
      <c r="D704" t="s">
        <v>25</v>
      </c>
      <c r="E704" s="1">
        <v>45803</v>
      </c>
      <c r="F704" s="1">
        <v>45804</v>
      </c>
      <c r="G704" t="s">
        <v>62</v>
      </c>
      <c r="H704" t="s">
        <v>53</v>
      </c>
      <c r="I704">
        <v>8379</v>
      </c>
      <c r="J704" t="s">
        <v>19</v>
      </c>
      <c r="K704" t="s">
        <v>35</v>
      </c>
      <c r="L704" t="s">
        <v>55</v>
      </c>
      <c r="M704" t="s">
        <v>29</v>
      </c>
      <c r="N704">
        <v>1</v>
      </c>
      <c r="O704" t="str">
        <f t="shared" si="10"/>
        <v>Normal</v>
      </c>
    </row>
    <row r="705" spans="1:15" x14ac:dyDescent="0.3">
      <c r="A705" t="s">
        <v>1453</v>
      </c>
      <c r="B705" t="s">
        <v>1454</v>
      </c>
      <c r="C705">
        <v>81</v>
      </c>
      <c r="D705" t="s">
        <v>25</v>
      </c>
      <c r="E705" s="1">
        <v>45773</v>
      </c>
      <c r="F705" s="1">
        <v>45779</v>
      </c>
      <c r="G705" t="s">
        <v>32</v>
      </c>
      <c r="H705" t="s">
        <v>48</v>
      </c>
      <c r="I705">
        <v>8334</v>
      </c>
      <c r="J705" t="s">
        <v>19</v>
      </c>
      <c r="K705" t="s">
        <v>35</v>
      </c>
      <c r="L705" t="s">
        <v>28</v>
      </c>
      <c r="M705" t="s">
        <v>22</v>
      </c>
      <c r="N705">
        <v>6</v>
      </c>
      <c r="O705" t="str">
        <f t="shared" si="10"/>
        <v>Extended</v>
      </c>
    </row>
    <row r="706" spans="1:15" x14ac:dyDescent="0.3">
      <c r="A706" t="s">
        <v>1455</v>
      </c>
      <c r="B706" t="s">
        <v>1456</v>
      </c>
      <c r="C706">
        <v>55</v>
      </c>
      <c r="D706" t="s">
        <v>16</v>
      </c>
      <c r="E706" s="1">
        <v>45796</v>
      </c>
      <c r="F706" s="1">
        <v>45809</v>
      </c>
      <c r="G706" t="s">
        <v>43</v>
      </c>
      <c r="H706" t="s">
        <v>48</v>
      </c>
      <c r="I706">
        <v>9795</v>
      </c>
      <c r="J706" t="s">
        <v>34</v>
      </c>
      <c r="K706" t="s">
        <v>133</v>
      </c>
      <c r="L706" t="s">
        <v>45</v>
      </c>
      <c r="M706" t="s">
        <v>29</v>
      </c>
      <c r="N706">
        <v>13</v>
      </c>
      <c r="O706" t="str">
        <f t="shared" si="10"/>
        <v>Extended</v>
      </c>
    </row>
    <row r="707" spans="1:15" x14ac:dyDescent="0.3">
      <c r="A707" t="s">
        <v>1457</v>
      </c>
      <c r="B707" t="s">
        <v>1458</v>
      </c>
      <c r="C707">
        <v>46</v>
      </c>
      <c r="D707" t="s">
        <v>25</v>
      </c>
      <c r="E707" s="1">
        <v>45594</v>
      </c>
      <c r="F707" s="1">
        <v>45607</v>
      </c>
      <c r="G707" t="s">
        <v>32</v>
      </c>
      <c r="H707" t="s">
        <v>33</v>
      </c>
      <c r="I707">
        <v>6446</v>
      </c>
      <c r="J707" t="s">
        <v>19</v>
      </c>
      <c r="K707" t="s">
        <v>133</v>
      </c>
      <c r="L707" t="s">
        <v>78</v>
      </c>
      <c r="M707" t="s">
        <v>29</v>
      </c>
      <c r="N707">
        <v>13</v>
      </c>
      <c r="O707" t="str">
        <f t="shared" ref="O707:O770" si="11">IF(N707&gt;3,"Extended","Normal")</f>
        <v>Extended</v>
      </c>
    </row>
    <row r="708" spans="1:15" x14ac:dyDescent="0.3">
      <c r="A708" t="s">
        <v>1459</v>
      </c>
      <c r="B708" t="s">
        <v>1460</v>
      </c>
      <c r="C708">
        <v>89</v>
      </c>
      <c r="D708" t="s">
        <v>25</v>
      </c>
      <c r="E708" s="1">
        <v>45732</v>
      </c>
      <c r="F708" s="1">
        <v>45746</v>
      </c>
      <c r="G708" t="s">
        <v>26</v>
      </c>
      <c r="H708" t="s">
        <v>48</v>
      </c>
      <c r="I708">
        <v>9479</v>
      </c>
      <c r="J708" t="s">
        <v>34</v>
      </c>
      <c r="K708" t="s">
        <v>54</v>
      </c>
      <c r="L708" t="s">
        <v>28</v>
      </c>
      <c r="M708" t="s">
        <v>22</v>
      </c>
      <c r="N708">
        <v>14</v>
      </c>
      <c r="O708" t="str">
        <f t="shared" si="11"/>
        <v>Extended</v>
      </c>
    </row>
    <row r="709" spans="1:15" x14ac:dyDescent="0.3">
      <c r="A709" t="s">
        <v>1461</v>
      </c>
      <c r="B709" t="s">
        <v>1462</v>
      </c>
      <c r="C709">
        <v>77</v>
      </c>
      <c r="D709" t="s">
        <v>16</v>
      </c>
      <c r="E709" s="1">
        <v>45728</v>
      </c>
      <c r="F709" s="1">
        <v>45729</v>
      </c>
      <c r="G709" t="s">
        <v>94</v>
      </c>
      <c r="H709" t="s">
        <v>73</v>
      </c>
      <c r="I709">
        <v>4713</v>
      </c>
      <c r="J709" t="s">
        <v>19</v>
      </c>
      <c r="K709" t="s">
        <v>40</v>
      </c>
      <c r="L709" t="s">
        <v>55</v>
      </c>
      <c r="M709" t="s">
        <v>22</v>
      </c>
      <c r="N709">
        <v>1</v>
      </c>
      <c r="O709" t="str">
        <f t="shared" si="11"/>
        <v>Normal</v>
      </c>
    </row>
    <row r="710" spans="1:15" x14ac:dyDescent="0.3">
      <c r="A710" t="s">
        <v>1463</v>
      </c>
      <c r="B710" t="s">
        <v>1464</v>
      </c>
      <c r="C710">
        <v>36</v>
      </c>
      <c r="D710" t="s">
        <v>25</v>
      </c>
      <c r="E710" s="1">
        <v>45682</v>
      </c>
      <c r="F710" s="1">
        <v>45693</v>
      </c>
      <c r="G710" t="s">
        <v>94</v>
      </c>
      <c r="H710" t="s">
        <v>39</v>
      </c>
      <c r="I710">
        <v>1995</v>
      </c>
      <c r="J710" t="s">
        <v>19</v>
      </c>
      <c r="K710" t="s">
        <v>54</v>
      </c>
      <c r="L710" t="s">
        <v>59</v>
      </c>
      <c r="M710" t="s">
        <v>50</v>
      </c>
      <c r="N710">
        <v>11</v>
      </c>
      <c r="O710" t="str">
        <f t="shared" si="11"/>
        <v>Extended</v>
      </c>
    </row>
    <row r="711" spans="1:15" x14ac:dyDescent="0.3">
      <c r="A711" t="s">
        <v>1465</v>
      </c>
      <c r="B711" t="s">
        <v>1466</v>
      </c>
      <c r="C711">
        <v>33</v>
      </c>
      <c r="D711" t="s">
        <v>25</v>
      </c>
      <c r="E711" s="1">
        <v>45744</v>
      </c>
      <c r="F711" s="1">
        <v>45755</v>
      </c>
      <c r="G711" t="s">
        <v>94</v>
      </c>
      <c r="H711" t="s">
        <v>27</v>
      </c>
      <c r="I711">
        <v>3348</v>
      </c>
      <c r="J711" t="s">
        <v>19</v>
      </c>
      <c r="K711" t="s">
        <v>133</v>
      </c>
      <c r="L711" t="s">
        <v>36</v>
      </c>
      <c r="M711" t="s">
        <v>50</v>
      </c>
      <c r="N711">
        <v>11</v>
      </c>
      <c r="O711" t="str">
        <f t="shared" si="11"/>
        <v>Extended</v>
      </c>
    </row>
    <row r="712" spans="1:15" x14ac:dyDescent="0.3">
      <c r="A712" t="s">
        <v>1467</v>
      </c>
      <c r="B712" t="s">
        <v>1468</v>
      </c>
      <c r="C712">
        <v>81</v>
      </c>
      <c r="D712" t="s">
        <v>25</v>
      </c>
      <c r="E712" s="1">
        <v>45611</v>
      </c>
      <c r="F712" s="1">
        <v>45616</v>
      </c>
      <c r="G712" t="s">
        <v>32</v>
      </c>
      <c r="H712" t="s">
        <v>33</v>
      </c>
      <c r="I712">
        <v>5160</v>
      </c>
      <c r="J712" t="s">
        <v>34</v>
      </c>
      <c r="K712" t="s">
        <v>44</v>
      </c>
      <c r="L712" t="s">
        <v>28</v>
      </c>
      <c r="M712" t="s">
        <v>50</v>
      </c>
      <c r="N712">
        <v>5</v>
      </c>
      <c r="O712" t="str">
        <f t="shared" si="11"/>
        <v>Extended</v>
      </c>
    </row>
    <row r="713" spans="1:15" x14ac:dyDescent="0.3">
      <c r="A713" t="s">
        <v>1469</v>
      </c>
      <c r="B713" t="s">
        <v>1470</v>
      </c>
      <c r="C713">
        <v>58</v>
      </c>
      <c r="D713" t="s">
        <v>16</v>
      </c>
      <c r="E713" s="1">
        <v>45585</v>
      </c>
      <c r="F713" s="1">
        <v>45594</v>
      </c>
      <c r="G713" t="s">
        <v>62</v>
      </c>
      <c r="H713" t="s">
        <v>18</v>
      </c>
      <c r="I713">
        <v>8536</v>
      </c>
      <c r="J713" t="s">
        <v>34</v>
      </c>
      <c r="K713" t="s">
        <v>54</v>
      </c>
      <c r="L713" t="s">
        <v>45</v>
      </c>
      <c r="M713" t="s">
        <v>22</v>
      </c>
      <c r="N713">
        <v>9</v>
      </c>
      <c r="O713" t="str">
        <f t="shared" si="11"/>
        <v>Extended</v>
      </c>
    </row>
    <row r="714" spans="1:15" x14ac:dyDescent="0.3">
      <c r="A714" t="s">
        <v>1471</v>
      </c>
      <c r="B714" t="s">
        <v>1472</v>
      </c>
      <c r="C714">
        <v>80</v>
      </c>
      <c r="D714" t="s">
        <v>16</v>
      </c>
      <c r="E714" s="1">
        <v>45583</v>
      </c>
      <c r="F714" s="1">
        <v>45588</v>
      </c>
      <c r="G714" t="s">
        <v>66</v>
      </c>
      <c r="H714" t="s">
        <v>33</v>
      </c>
      <c r="I714">
        <v>4312</v>
      </c>
      <c r="J714" t="s">
        <v>34</v>
      </c>
      <c r="K714" t="s">
        <v>44</v>
      </c>
      <c r="L714" t="s">
        <v>55</v>
      </c>
      <c r="M714" t="s">
        <v>29</v>
      </c>
      <c r="N714">
        <v>5</v>
      </c>
      <c r="O714" t="str">
        <f t="shared" si="11"/>
        <v>Extended</v>
      </c>
    </row>
    <row r="715" spans="1:15" x14ac:dyDescent="0.3">
      <c r="A715" t="s">
        <v>1473</v>
      </c>
      <c r="B715" t="s">
        <v>1474</v>
      </c>
      <c r="C715">
        <v>25</v>
      </c>
      <c r="D715" t="s">
        <v>16</v>
      </c>
      <c r="E715" s="1">
        <v>45627</v>
      </c>
      <c r="F715" s="1">
        <v>45634</v>
      </c>
      <c r="G715" t="s">
        <v>94</v>
      </c>
      <c r="H715" t="s">
        <v>63</v>
      </c>
      <c r="I715">
        <v>9501</v>
      </c>
      <c r="J715" t="s">
        <v>34</v>
      </c>
      <c r="K715" t="s">
        <v>49</v>
      </c>
      <c r="L715" t="s">
        <v>45</v>
      </c>
      <c r="M715" t="s">
        <v>29</v>
      </c>
      <c r="N715">
        <v>7</v>
      </c>
      <c r="O715" t="str">
        <f t="shared" si="11"/>
        <v>Extended</v>
      </c>
    </row>
    <row r="716" spans="1:15" x14ac:dyDescent="0.3">
      <c r="A716" t="s">
        <v>1475</v>
      </c>
      <c r="B716" t="s">
        <v>1476</v>
      </c>
      <c r="C716">
        <v>41</v>
      </c>
      <c r="D716" t="s">
        <v>25</v>
      </c>
      <c r="E716" s="1">
        <v>45496</v>
      </c>
      <c r="F716" s="1">
        <v>45508</v>
      </c>
      <c r="G716" t="s">
        <v>43</v>
      </c>
      <c r="H716" t="s">
        <v>73</v>
      </c>
      <c r="I716">
        <v>8788</v>
      </c>
      <c r="J716" t="s">
        <v>19</v>
      </c>
      <c r="K716" t="s">
        <v>49</v>
      </c>
      <c r="L716" t="s">
        <v>78</v>
      </c>
      <c r="M716" t="s">
        <v>22</v>
      </c>
      <c r="N716">
        <v>12</v>
      </c>
      <c r="O716" t="str">
        <f t="shared" si="11"/>
        <v>Extended</v>
      </c>
    </row>
    <row r="717" spans="1:15" x14ac:dyDescent="0.3">
      <c r="A717" t="s">
        <v>1477</v>
      </c>
      <c r="B717" t="s">
        <v>1478</v>
      </c>
      <c r="C717">
        <v>88</v>
      </c>
      <c r="D717" t="s">
        <v>16</v>
      </c>
      <c r="E717" s="1">
        <v>45616</v>
      </c>
      <c r="F717" s="1">
        <v>45628</v>
      </c>
      <c r="G717" t="s">
        <v>66</v>
      </c>
      <c r="H717" t="s">
        <v>48</v>
      </c>
      <c r="I717">
        <v>2126</v>
      </c>
      <c r="J717" t="s">
        <v>34</v>
      </c>
      <c r="K717" t="s">
        <v>54</v>
      </c>
      <c r="L717" t="s">
        <v>28</v>
      </c>
      <c r="M717" t="s">
        <v>50</v>
      </c>
      <c r="N717">
        <v>12</v>
      </c>
      <c r="O717" t="str">
        <f t="shared" si="11"/>
        <v>Extended</v>
      </c>
    </row>
    <row r="718" spans="1:15" x14ac:dyDescent="0.3">
      <c r="A718" t="s">
        <v>1479</v>
      </c>
      <c r="B718" t="s">
        <v>1480</v>
      </c>
      <c r="C718">
        <v>29</v>
      </c>
      <c r="D718" t="s">
        <v>25</v>
      </c>
      <c r="E718" s="1">
        <v>45644</v>
      </c>
      <c r="F718" s="1">
        <v>45653</v>
      </c>
      <c r="G718" t="s">
        <v>62</v>
      </c>
      <c r="H718" t="s">
        <v>48</v>
      </c>
      <c r="I718">
        <v>7556</v>
      </c>
      <c r="J718" t="s">
        <v>34</v>
      </c>
      <c r="K718" t="s">
        <v>40</v>
      </c>
      <c r="L718" t="s">
        <v>78</v>
      </c>
      <c r="M718" t="s">
        <v>22</v>
      </c>
      <c r="N718">
        <v>9</v>
      </c>
      <c r="O718" t="str">
        <f t="shared" si="11"/>
        <v>Extended</v>
      </c>
    </row>
    <row r="719" spans="1:15" x14ac:dyDescent="0.3">
      <c r="A719" t="s">
        <v>1481</v>
      </c>
      <c r="B719" t="s">
        <v>1482</v>
      </c>
      <c r="C719">
        <v>77</v>
      </c>
      <c r="D719" t="s">
        <v>25</v>
      </c>
      <c r="E719" s="1">
        <v>45770</v>
      </c>
      <c r="F719" s="1">
        <v>45781</v>
      </c>
      <c r="G719" t="s">
        <v>43</v>
      </c>
      <c r="H719" t="s">
        <v>53</v>
      </c>
      <c r="I719">
        <v>6425</v>
      </c>
      <c r="J719" t="s">
        <v>34</v>
      </c>
      <c r="K719" t="s">
        <v>35</v>
      </c>
      <c r="L719" t="s">
        <v>59</v>
      </c>
      <c r="M719" t="s">
        <v>50</v>
      </c>
      <c r="N719">
        <v>11</v>
      </c>
      <c r="O719" t="str">
        <f t="shared" si="11"/>
        <v>Extended</v>
      </c>
    </row>
    <row r="720" spans="1:15" x14ac:dyDescent="0.3">
      <c r="A720" t="s">
        <v>1483</v>
      </c>
      <c r="B720" t="s">
        <v>1484</v>
      </c>
      <c r="C720">
        <v>69</v>
      </c>
      <c r="D720" t="s">
        <v>16</v>
      </c>
      <c r="E720" s="1">
        <v>45767</v>
      </c>
      <c r="F720" s="1">
        <v>45769</v>
      </c>
      <c r="G720" t="s">
        <v>43</v>
      </c>
      <c r="H720" t="s">
        <v>39</v>
      </c>
      <c r="I720">
        <v>4132</v>
      </c>
      <c r="J720" t="s">
        <v>34</v>
      </c>
      <c r="K720" t="s">
        <v>133</v>
      </c>
      <c r="L720" t="s">
        <v>45</v>
      </c>
      <c r="M720" t="s">
        <v>29</v>
      </c>
      <c r="N720">
        <v>2</v>
      </c>
      <c r="O720" t="str">
        <f t="shared" si="11"/>
        <v>Normal</v>
      </c>
    </row>
    <row r="721" spans="1:15" x14ac:dyDescent="0.3">
      <c r="A721" t="s">
        <v>1485</v>
      </c>
      <c r="B721" t="s">
        <v>1486</v>
      </c>
      <c r="C721">
        <v>42</v>
      </c>
      <c r="D721" t="s">
        <v>25</v>
      </c>
      <c r="E721" s="1">
        <v>45683</v>
      </c>
      <c r="F721" s="1">
        <v>45694</v>
      </c>
      <c r="G721" t="s">
        <v>43</v>
      </c>
      <c r="H721" t="s">
        <v>53</v>
      </c>
      <c r="I721">
        <v>1839</v>
      </c>
      <c r="J721" t="s">
        <v>19</v>
      </c>
      <c r="K721" t="s">
        <v>44</v>
      </c>
      <c r="L721" t="s">
        <v>45</v>
      </c>
      <c r="M721" t="s">
        <v>29</v>
      </c>
      <c r="N721">
        <v>11</v>
      </c>
      <c r="O721" t="str">
        <f t="shared" si="11"/>
        <v>Extended</v>
      </c>
    </row>
    <row r="722" spans="1:15" x14ac:dyDescent="0.3">
      <c r="A722" t="s">
        <v>1487</v>
      </c>
      <c r="B722" t="s">
        <v>1488</v>
      </c>
      <c r="C722">
        <v>8</v>
      </c>
      <c r="D722" t="s">
        <v>16</v>
      </c>
      <c r="E722" s="1">
        <v>45799</v>
      </c>
      <c r="F722" s="1">
        <v>45802</v>
      </c>
      <c r="G722" t="s">
        <v>66</v>
      </c>
      <c r="H722" t="s">
        <v>89</v>
      </c>
      <c r="I722">
        <v>4229</v>
      </c>
      <c r="J722" t="s">
        <v>34</v>
      </c>
      <c r="K722" t="s">
        <v>40</v>
      </c>
      <c r="L722" t="s">
        <v>55</v>
      </c>
      <c r="M722" t="s">
        <v>29</v>
      </c>
      <c r="N722">
        <v>3</v>
      </c>
      <c r="O722" t="str">
        <f t="shared" si="11"/>
        <v>Normal</v>
      </c>
    </row>
    <row r="723" spans="1:15" x14ac:dyDescent="0.3">
      <c r="A723" t="s">
        <v>1489</v>
      </c>
      <c r="B723" t="s">
        <v>1490</v>
      </c>
      <c r="C723">
        <v>59</v>
      </c>
      <c r="D723" t="s">
        <v>16</v>
      </c>
      <c r="E723" s="1">
        <v>45670</v>
      </c>
      <c r="F723" s="1">
        <v>45673</v>
      </c>
      <c r="G723" t="s">
        <v>66</v>
      </c>
      <c r="H723" t="s">
        <v>27</v>
      </c>
      <c r="I723">
        <v>8001</v>
      </c>
      <c r="J723" t="s">
        <v>34</v>
      </c>
      <c r="K723" t="s">
        <v>35</v>
      </c>
      <c r="L723" t="s">
        <v>36</v>
      </c>
      <c r="M723" t="s">
        <v>50</v>
      </c>
      <c r="N723">
        <v>3</v>
      </c>
      <c r="O723" t="str">
        <f t="shared" si="11"/>
        <v>Normal</v>
      </c>
    </row>
    <row r="724" spans="1:15" x14ac:dyDescent="0.3">
      <c r="A724" t="s">
        <v>1491</v>
      </c>
      <c r="B724" t="s">
        <v>1492</v>
      </c>
      <c r="C724">
        <v>23</v>
      </c>
      <c r="D724" t="s">
        <v>16</v>
      </c>
      <c r="E724" s="1">
        <v>45671</v>
      </c>
      <c r="F724" s="1">
        <v>45677</v>
      </c>
      <c r="G724" t="s">
        <v>66</v>
      </c>
      <c r="H724" t="s">
        <v>27</v>
      </c>
      <c r="I724">
        <v>3929</v>
      </c>
      <c r="J724" t="s">
        <v>34</v>
      </c>
      <c r="K724" t="s">
        <v>49</v>
      </c>
      <c r="L724" t="s">
        <v>36</v>
      </c>
      <c r="M724" t="s">
        <v>29</v>
      </c>
      <c r="N724">
        <v>6</v>
      </c>
      <c r="O724" t="str">
        <f t="shared" si="11"/>
        <v>Extended</v>
      </c>
    </row>
    <row r="725" spans="1:15" x14ac:dyDescent="0.3">
      <c r="A725" t="s">
        <v>1493</v>
      </c>
      <c r="B725" t="s">
        <v>1494</v>
      </c>
      <c r="C725">
        <v>60</v>
      </c>
      <c r="D725" t="s">
        <v>16</v>
      </c>
      <c r="E725" s="1">
        <v>45524</v>
      </c>
      <c r="F725" s="1">
        <v>45537</v>
      </c>
      <c r="G725" t="s">
        <v>62</v>
      </c>
      <c r="H725" t="s">
        <v>27</v>
      </c>
      <c r="I725">
        <v>6958</v>
      </c>
      <c r="J725" t="s">
        <v>19</v>
      </c>
      <c r="K725" t="s">
        <v>49</v>
      </c>
      <c r="L725" t="s">
        <v>78</v>
      </c>
      <c r="M725" t="s">
        <v>29</v>
      </c>
      <c r="N725">
        <v>13</v>
      </c>
      <c r="O725" t="str">
        <f t="shared" si="11"/>
        <v>Extended</v>
      </c>
    </row>
    <row r="726" spans="1:15" x14ac:dyDescent="0.3">
      <c r="A726" t="s">
        <v>1495</v>
      </c>
      <c r="B726" t="s">
        <v>1496</v>
      </c>
      <c r="C726">
        <v>71</v>
      </c>
      <c r="D726" t="s">
        <v>25</v>
      </c>
      <c r="E726" s="1">
        <v>45714</v>
      </c>
      <c r="F726" s="1">
        <v>45725</v>
      </c>
      <c r="G726" t="s">
        <v>43</v>
      </c>
      <c r="H726" t="s">
        <v>53</v>
      </c>
      <c r="I726">
        <v>1525</v>
      </c>
      <c r="J726" t="s">
        <v>19</v>
      </c>
      <c r="K726" t="s">
        <v>49</v>
      </c>
      <c r="L726" t="s">
        <v>45</v>
      </c>
      <c r="M726" t="s">
        <v>50</v>
      </c>
      <c r="N726">
        <v>11</v>
      </c>
      <c r="O726" t="str">
        <f t="shared" si="11"/>
        <v>Extended</v>
      </c>
    </row>
    <row r="727" spans="1:15" x14ac:dyDescent="0.3">
      <c r="A727" t="s">
        <v>1497</v>
      </c>
      <c r="B727" t="s">
        <v>1498</v>
      </c>
      <c r="C727">
        <v>84</v>
      </c>
      <c r="D727" t="s">
        <v>25</v>
      </c>
      <c r="E727" s="1">
        <v>45496</v>
      </c>
      <c r="F727" s="1">
        <v>45509</v>
      </c>
      <c r="G727" t="s">
        <v>66</v>
      </c>
      <c r="H727" t="s">
        <v>48</v>
      </c>
      <c r="I727">
        <v>2195</v>
      </c>
      <c r="J727" t="s">
        <v>34</v>
      </c>
      <c r="K727" t="s">
        <v>20</v>
      </c>
      <c r="L727" t="s">
        <v>36</v>
      </c>
      <c r="M727" t="s">
        <v>22</v>
      </c>
      <c r="N727">
        <v>13</v>
      </c>
      <c r="O727" t="str">
        <f t="shared" si="11"/>
        <v>Extended</v>
      </c>
    </row>
    <row r="728" spans="1:15" x14ac:dyDescent="0.3">
      <c r="A728" t="s">
        <v>1499</v>
      </c>
      <c r="B728" t="s">
        <v>1500</v>
      </c>
      <c r="C728">
        <v>66</v>
      </c>
      <c r="D728" t="s">
        <v>16</v>
      </c>
      <c r="E728" s="1">
        <v>45789</v>
      </c>
      <c r="F728" s="1">
        <v>45798</v>
      </c>
      <c r="G728" t="s">
        <v>43</v>
      </c>
      <c r="H728" t="s">
        <v>73</v>
      </c>
      <c r="I728">
        <v>7449</v>
      </c>
      <c r="J728" t="s">
        <v>19</v>
      </c>
      <c r="K728" t="s">
        <v>40</v>
      </c>
      <c r="L728" t="s">
        <v>59</v>
      </c>
      <c r="M728" t="s">
        <v>29</v>
      </c>
      <c r="N728">
        <v>9</v>
      </c>
      <c r="O728" t="str">
        <f t="shared" si="11"/>
        <v>Extended</v>
      </c>
    </row>
    <row r="729" spans="1:15" x14ac:dyDescent="0.3">
      <c r="A729" t="s">
        <v>1501</v>
      </c>
      <c r="B729" t="s">
        <v>1502</v>
      </c>
      <c r="C729">
        <v>34</v>
      </c>
      <c r="D729" t="s">
        <v>25</v>
      </c>
      <c r="E729" s="1">
        <v>45624</v>
      </c>
      <c r="F729" s="1">
        <v>45629</v>
      </c>
      <c r="G729" t="s">
        <v>43</v>
      </c>
      <c r="H729" t="s">
        <v>73</v>
      </c>
      <c r="I729">
        <v>2827</v>
      </c>
      <c r="J729" t="s">
        <v>19</v>
      </c>
      <c r="K729" t="s">
        <v>35</v>
      </c>
      <c r="L729" t="s">
        <v>78</v>
      </c>
      <c r="M729" t="s">
        <v>50</v>
      </c>
      <c r="N729">
        <v>5</v>
      </c>
      <c r="O729" t="str">
        <f t="shared" si="11"/>
        <v>Extended</v>
      </c>
    </row>
    <row r="730" spans="1:15" x14ac:dyDescent="0.3">
      <c r="A730" t="s">
        <v>1503</v>
      </c>
      <c r="B730" t="s">
        <v>1504</v>
      </c>
      <c r="C730">
        <v>59</v>
      </c>
      <c r="D730" t="s">
        <v>16</v>
      </c>
      <c r="E730" s="1">
        <v>45492</v>
      </c>
      <c r="F730" s="1">
        <v>45498</v>
      </c>
      <c r="G730" t="s">
        <v>43</v>
      </c>
      <c r="H730" t="s">
        <v>39</v>
      </c>
      <c r="I730">
        <v>9646</v>
      </c>
      <c r="J730" t="s">
        <v>19</v>
      </c>
      <c r="K730" t="s">
        <v>40</v>
      </c>
      <c r="L730" t="s">
        <v>36</v>
      </c>
      <c r="M730" t="s">
        <v>22</v>
      </c>
      <c r="N730">
        <v>6</v>
      </c>
      <c r="O730" t="str">
        <f t="shared" si="11"/>
        <v>Extended</v>
      </c>
    </row>
    <row r="731" spans="1:15" x14ac:dyDescent="0.3">
      <c r="A731" t="s">
        <v>1505</v>
      </c>
      <c r="B731" t="s">
        <v>1506</v>
      </c>
      <c r="C731">
        <v>84</v>
      </c>
      <c r="D731" t="s">
        <v>25</v>
      </c>
      <c r="E731" s="1">
        <v>45770</v>
      </c>
      <c r="F731" s="1">
        <v>45778</v>
      </c>
      <c r="G731" t="s">
        <v>43</v>
      </c>
      <c r="H731" t="s">
        <v>58</v>
      </c>
      <c r="I731">
        <v>3127</v>
      </c>
      <c r="J731" t="s">
        <v>19</v>
      </c>
      <c r="K731" t="s">
        <v>49</v>
      </c>
      <c r="L731" t="s">
        <v>21</v>
      </c>
      <c r="M731" t="s">
        <v>50</v>
      </c>
      <c r="N731">
        <v>8</v>
      </c>
      <c r="O731" t="str">
        <f t="shared" si="11"/>
        <v>Extended</v>
      </c>
    </row>
    <row r="732" spans="1:15" x14ac:dyDescent="0.3">
      <c r="A732" t="s">
        <v>1507</v>
      </c>
      <c r="B732" t="s">
        <v>1088</v>
      </c>
      <c r="C732">
        <v>55</v>
      </c>
      <c r="D732" t="s">
        <v>16</v>
      </c>
      <c r="E732" s="1">
        <v>45455</v>
      </c>
      <c r="F732" s="1">
        <v>45461</v>
      </c>
      <c r="G732" t="s">
        <v>66</v>
      </c>
      <c r="H732" t="s">
        <v>58</v>
      </c>
      <c r="I732">
        <v>3553</v>
      </c>
      <c r="J732" t="s">
        <v>19</v>
      </c>
      <c r="K732" t="s">
        <v>35</v>
      </c>
      <c r="L732" t="s">
        <v>21</v>
      </c>
      <c r="M732" t="s">
        <v>22</v>
      </c>
      <c r="N732">
        <v>6</v>
      </c>
      <c r="O732" t="str">
        <f t="shared" si="11"/>
        <v>Extended</v>
      </c>
    </row>
    <row r="733" spans="1:15" x14ac:dyDescent="0.3">
      <c r="A733" t="s">
        <v>1508</v>
      </c>
      <c r="B733" t="s">
        <v>1509</v>
      </c>
      <c r="C733">
        <v>75</v>
      </c>
      <c r="D733" t="s">
        <v>16</v>
      </c>
      <c r="E733" s="1">
        <v>45631</v>
      </c>
      <c r="F733" s="1">
        <v>45637</v>
      </c>
      <c r="G733" t="s">
        <v>17</v>
      </c>
      <c r="H733" t="s">
        <v>73</v>
      </c>
      <c r="I733">
        <v>9995</v>
      </c>
      <c r="J733" t="s">
        <v>19</v>
      </c>
      <c r="K733" t="s">
        <v>20</v>
      </c>
      <c r="L733" t="s">
        <v>28</v>
      </c>
      <c r="M733" t="s">
        <v>29</v>
      </c>
      <c r="N733">
        <v>6</v>
      </c>
      <c r="O733" t="str">
        <f t="shared" si="11"/>
        <v>Extended</v>
      </c>
    </row>
    <row r="734" spans="1:15" x14ac:dyDescent="0.3">
      <c r="A734" t="s">
        <v>1510</v>
      </c>
      <c r="B734" t="s">
        <v>1511</v>
      </c>
      <c r="C734">
        <v>84</v>
      </c>
      <c r="D734" t="s">
        <v>16</v>
      </c>
      <c r="E734" s="1">
        <v>45801</v>
      </c>
      <c r="F734" s="1">
        <v>45808</v>
      </c>
      <c r="G734" t="s">
        <v>17</v>
      </c>
      <c r="H734" t="s">
        <v>27</v>
      </c>
      <c r="I734">
        <v>4350</v>
      </c>
      <c r="J734" t="s">
        <v>34</v>
      </c>
      <c r="K734" t="s">
        <v>49</v>
      </c>
      <c r="L734" t="s">
        <v>45</v>
      </c>
      <c r="M734" t="s">
        <v>29</v>
      </c>
      <c r="N734">
        <v>7</v>
      </c>
      <c r="O734" t="str">
        <f t="shared" si="11"/>
        <v>Extended</v>
      </c>
    </row>
    <row r="735" spans="1:15" x14ac:dyDescent="0.3">
      <c r="A735" t="s">
        <v>1512</v>
      </c>
      <c r="B735" t="s">
        <v>1513</v>
      </c>
      <c r="C735">
        <v>4</v>
      </c>
      <c r="D735" t="s">
        <v>25</v>
      </c>
      <c r="E735" s="1">
        <v>45572</v>
      </c>
      <c r="F735" s="1">
        <v>45582</v>
      </c>
      <c r="G735" t="s">
        <v>62</v>
      </c>
      <c r="H735" t="s">
        <v>89</v>
      </c>
      <c r="I735">
        <v>2513</v>
      </c>
      <c r="J735" t="s">
        <v>34</v>
      </c>
      <c r="K735" t="s">
        <v>35</v>
      </c>
      <c r="L735" t="s">
        <v>55</v>
      </c>
      <c r="M735" t="s">
        <v>29</v>
      </c>
      <c r="N735">
        <v>10</v>
      </c>
      <c r="O735" t="str">
        <f t="shared" si="11"/>
        <v>Extended</v>
      </c>
    </row>
    <row r="736" spans="1:15" x14ac:dyDescent="0.3">
      <c r="A736" t="s">
        <v>1514</v>
      </c>
      <c r="B736" t="s">
        <v>1515</v>
      </c>
      <c r="C736">
        <v>36</v>
      </c>
      <c r="D736" t="s">
        <v>25</v>
      </c>
      <c r="E736" s="1">
        <v>45686</v>
      </c>
      <c r="F736" s="1">
        <v>45694</v>
      </c>
      <c r="G736" t="s">
        <v>94</v>
      </c>
      <c r="H736" t="s">
        <v>33</v>
      </c>
      <c r="I736">
        <v>6688</v>
      </c>
      <c r="J736" t="s">
        <v>34</v>
      </c>
      <c r="K736" t="s">
        <v>20</v>
      </c>
      <c r="L736" t="s">
        <v>28</v>
      </c>
      <c r="M736" t="s">
        <v>22</v>
      </c>
      <c r="N736">
        <v>8</v>
      </c>
      <c r="O736" t="str">
        <f t="shared" si="11"/>
        <v>Extended</v>
      </c>
    </row>
    <row r="737" spans="1:15" x14ac:dyDescent="0.3">
      <c r="A737" t="s">
        <v>1516</v>
      </c>
      <c r="B737" t="s">
        <v>1517</v>
      </c>
      <c r="C737">
        <v>35</v>
      </c>
      <c r="D737" t="s">
        <v>25</v>
      </c>
      <c r="E737" s="1">
        <v>45464</v>
      </c>
      <c r="F737" s="1">
        <v>45471</v>
      </c>
      <c r="G737" t="s">
        <v>43</v>
      </c>
      <c r="H737" t="s">
        <v>53</v>
      </c>
      <c r="I737">
        <v>8804</v>
      </c>
      <c r="J737" t="s">
        <v>19</v>
      </c>
      <c r="K737" t="s">
        <v>49</v>
      </c>
      <c r="L737" t="s">
        <v>45</v>
      </c>
      <c r="M737" t="s">
        <v>22</v>
      </c>
      <c r="N737">
        <v>7</v>
      </c>
      <c r="O737" t="str">
        <f t="shared" si="11"/>
        <v>Extended</v>
      </c>
    </row>
    <row r="738" spans="1:15" x14ac:dyDescent="0.3">
      <c r="A738" t="s">
        <v>1518</v>
      </c>
      <c r="B738" t="s">
        <v>1519</v>
      </c>
      <c r="C738">
        <v>74</v>
      </c>
      <c r="D738" t="s">
        <v>16</v>
      </c>
      <c r="E738" s="1">
        <v>45629</v>
      </c>
      <c r="F738" s="1">
        <v>45642</v>
      </c>
      <c r="G738" t="s">
        <v>43</v>
      </c>
      <c r="H738" t="s">
        <v>18</v>
      </c>
      <c r="I738">
        <v>8222</v>
      </c>
      <c r="J738" t="s">
        <v>19</v>
      </c>
      <c r="K738" t="s">
        <v>49</v>
      </c>
      <c r="L738" t="s">
        <v>28</v>
      </c>
      <c r="M738" t="s">
        <v>50</v>
      </c>
      <c r="N738">
        <v>13</v>
      </c>
      <c r="O738" t="str">
        <f t="shared" si="11"/>
        <v>Extended</v>
      </c>
    </row>
    <row r="739" spans="1:15" x14ac:dyDescent="0.3">
      <c r="A739" t="s">
        <v>1520</v>
      </c>
      <c r="B739" t="s">
        <v>1521</v>
      </c>
      <c r="C739">
        <v>11</v>
      </c>
      <c r="D739" t="s">
        <v>16</v>
      </c>
      <c r="E739" s="1">
        <v>45561</v>
      </c>
      <c r="F739" s="1">
        <v>45568</v>
      </c>
      <c r="G739" t="s">
        <v>66</v>
      </c>
      <c r="H739" t="s">
        <v>27</v>
      </c>
      <c r="I739">
        <v>3372</v>
      </c>
      <c r="J739" t="s">
        <v>34</v>
      </c>
      <c r="K739" t="s">
        <v>54</v>
      </c>
      <c r="L739" t="s">
        <v>55</v>
      </c>
      <c r="M739" t="s">
        <v>22</v>
      </c>
      <c r="N739">
        <v>7</v>
      </c>
      <c r="O739" t="str">
        <f t="shared" si="11"/>
        <v>Extended</v>
      </c>
    </row>
    <row r="740" spans="1:15" x14ac:dyDescent="0.3">
      <c r="A740" t="s">
        <v>1522</v>
      </c>
      <c r="B740" t="s">
        <v>1523</v>
      </c>
      <c r="C740">
        <v>73</v>
      </c>
      <c r="D740" t="s">
        <v>16</v>
      </c>
      <c r="E740" s="1">
        <v>45667</v>
      </c>
      <c r="F740" s="1">
        <v>45672</v>
      </c>
      <c r="G740" t="s">
        <v>43</v>
      </c>
      <c r="H740" t="s">
        <v>73</v>
      </c>
      <c r="I740">
        <v>6931</v>
      </c>
      <c r="J740" t="s">
        <v>19</v>
      </c>
      <c r="K740" t="s">
        <v>54</v>
      </c>
      <c r="L740" t="s">
        <v>36</v>
      </c>
      <c r="M740" t="s">
        <v>50</v>
      </c>
      <c r="N740">
        <v>5</v>
      </c>
      <c r="O740" t="str">
        <f t="shared" si="11"/>
        <v>Extended</v>
      </c>
    </row>
    <row r="741" spans="1:15" x14ac:dyDescent="0.3">
      <c r="A741" t="s">
        <v>1524</v>
      </c>
      <c r="B741" t="s">
        <v>1525</v>
      </c>
      <c r="C741">
        <v>88</v>
      </c>
      <c r="D741" t="s">
        <v>25</v>
      </c>
      <c r="E741" s="1">
        <v>45744</v>
      </c>
      <c r="F741" s="1">
        <v>45757</v>
      </c>
      <c r="G741" t="s">
        <v>94</v>
      </c>
      <c r="H741" t="s">
        <v>73</v>
      </c>
      <c r="I741">
        <v>3539</v>
      </c>
      <c r="J741" t="s">
        <v>19</v>
      </c>
      <c r="K741" t="s">
        <v>54</v>
      </c>
      <c r="L741" t="s">
        <v>59</v>
      </c>
      <c r="M741" t="s">
        <v>50</v>
      </c>
      <c r="N741">
        <v>13</v>
      </c>
      <c r="O741" t="str">
        <f t="shared" si="11"/>
        <v>Extended</v>
      </c>
    </row>
    <row r="742" spans="1:15" x14ac:dyDescent="0.3">
      <c r="A742" t="s">
        <v>1526</v>
      </c>
      <c r="B742" t="s">
        <v>1527</v>
      </c>
      <c r="C742">
        <v>51</v>
      </c>
      <c r="D742" t="s">
        <v>25</v>
      </c>
      <c r="E742" s="1">
        <v>45737</v>
      </c>
      <c r="F742" s="1">
        <v>45742</v>
      </c>
      <c r="G742" t="s">
        <v>66</v>
      </c>
      <c r="H742" t="s">
        <v>48</v>
      </c>
      <c r="I742">
        <v>6211</v>
      </c>
      <c r="J742" t="s">
        <v>34</v>
      </c>
      <c r="K742" t="s">
        <v>54</v>
      </c>
      <c r="L742" t="s">
        <v>45</v>
      </c>
      <c r="M742" t="s">
        <v>50</v>
      </c>
      <c r="N742">
        <v>5</v>
      </c>
      <c r="O742" t="str">
        <f t="shared" si="11"/>
        <v>Extended</v>
      </c>
    </row>
    <row r="743" spans="1:15" x14ac:dyDescent="0.3">
      <c r="A743" t="s">
        <v>1528</v>
      </c>
      <c r="B743" t="s">
        <v>1529</v>
      </c>
      <c r="C743">
        <v>24</v>
      </c>
      <c r="D743" t="s">
        <v>25</v>
      </c>
      <c r="E743" s="1">
        <v>45764</v>
      </c>
      <c r="F743" s="1">
        <v>45765</v>
      </c>
      <c r="G743" t="s">
        <v>94</v>
      </c>
      <c r="H743" t="s">
        <v>18</v>
      </c>
      <c r="I743">
        <v>8976</v>
      </c>
      <c r="J743" t="s">
        <v>34</v>
      </c>
      <c r="K743" t="s">
        <v>35</v>
      </c>
      <c r="L743" t="s">
        <v>55</v>
      </c>
      <c r="M743" t="s">
        <v>22</v>
      </c>
      <c r="N743">
        <v>1</v>
      </c>
      <c r="O743" t="str">
        <f t="shared" si="11"/>
        <v>Normal</v>
      </c>
    </row>
    <row r="744" spans="1:15" x14ac:dyDescent="0.3">
      <c r="A744" t="s">
        <v>1530</v>
      </c>
      <c r="B744" t="s">
        <v>1531</v>
      </c>
      <c r="C744">
        <v>49</v>
      </c>
      <c r="D744" t="s">
        <v>25</v>
      </c>
      <c r="E744" s="1">
        <v>45557</v>
      </c>
      <c r="F744" s="1">
        <v>45562</v>
      </c>
      <c r="G744" t="s">
        <v>43</v>
      </c>
      <c r="H744" t="s">
        <v>89</v>
      </c>
      <c r="I744">
        <v>6104</v>
      </c>
      <c r="J744" t="s">
        <v>34</v>
      </c>
      <c r="K744" t="s">
        <v>40</v>
      </c>
      <c r="L744" t="s">
        <v>59</v>
      </c>
      <c r="M744" t="s">
        <v>50</v>
      </c>
      <c r="N744">
        <v>5</v>
      </c>
      <c r="O744" t="str">
        <f t="shared" si="11"/>
        <v>Extended</v>
      </c>
    </row>
    <row r="745" spans="1:15" x14ac:dyDescent="0.3">
      <c r="A745" t="s">
        <v>1532</v>
      </c>
      <c r="B745" t="s">
        <v>1533</v>
      </c>
      <c r="C745">
        <v>13</v>
      </c>
      <c r="D745" t="s">
        <v>25</v>
      </c>
      <c r="E745" s="1">
        <v>45768</v>
      </c>
      <c r="F745" s="1">
        <v>45773</v>
      </c>
      <c r="G745" t="s">
        <v>17</v>
      </c>
      <c r="H745" t="s">
        <v>58</v>
      </c>
      <c r="I745">
        <v>4703</v>
      </c>
      <c r="J745" t="s">
        <v>19</v>
      </c>
      <c r="K745" t="s">
        <v>40</v>
      </c>
      <c r="L745" t="s">
        <v>78</v>
      </c>
      <c r="M745" t="s">
        <v>29</v>
      </c>
      <c r="N745">
        <v>5</v>
      </c>
      <c r="O745" t="str">
        <f t="shared" si="11"/>
        <v>Extended</v>
      </c>
    </row>
    <row r="746" spans="1:15" x14ac:dyDescent="0.3">
      <c r="A746" t="s">
        <v>1534</v>
      </c>
      <c r="B746" t="s">
        <v>1535</v>
      </c>
      <c r="C746">
        <v>12</v>
      </c>
      <c r="D746" t="s">
        <v>25</v>
      </c>
      <c r="E746" s="1">
        <v>45714</v>
      </c>
      <c r="F746" s="1">
        <v>45717</v>
      </c>
      <c r="G746" t="s">
        <v>32</v>
      </c>
      <c r="H746" t="s">
        <v>63</v>
      </c>
      <c r="I746">
        <v>3596</v>
      </c>
      <c r="J746" t="s">
        <v>19</v>
      </c>
      <c r="K746" t="s">
        <v>20</v>
      </c>
      <c r="L746" t="s">
        <v>78</v>
      </c>
      <c r="M746" t="s">
        <v>29</v>
      </c>
      <c r="N746">
        <v>3</v>
      </c>
      <c r="O746" t="str">
        <f t="shared" si="11"/>
        <v>Normal</v>
      </c>
    </row>
    <row r="747" spans="1:15" x14ac:dyDescent="0.3">
      <c r="A747" t="s">
        <v>1536</v>
      </c>
      <c r="B747" t="s">
        <v>1537</v>
      </c>
      <c r="C747">
        <v>62</v>
      </c>
      <c r="D747" t="s">
        <v>25</v>
      </c>
      <c r="E747" s="1">
        <v>45576</v>
      </c>
      <c r="F747" s="1">
        <v>45588</v>
      </c>
      <c r="G747" t="s">
        <v>26</v>
      </c>
      <c r="H747" t="s">
        <v>18</v>
      </c>
      <c r="I747">
        <v>8848</v>
      </c>
      <c r="J747" t="s">
        <v>19</v>
      </c>
      <c r="K747" t="s">
        <v>44</v>
      </c>
      <c r="L747" t="s">
        <v>21</v>
      </c>
      <c r="M747" t="s">
        <v>29</v>
      </c>
      <c r="N747">
        <v>12</v>
      </c>
      <c r="O747" t="str">
        <f t="shared" si="11"/>
        <v>Extended</v>
      </c>
    </row>
    <row r="748" spans="1:15" x14ac:dyDescent="0.3">
      <c r="A748" t="s">
        <v>1538</v>
      </c>
      <c r="B748" t="s">
        <v>1539</v>
      </c>
      <c r="C748">
        <v>11</v>
      </c>
      <c r="D748" t="s">
        <v>25</v>
      </c>
      <c r="E748" s="1">
        <v>45768</v>
      </c>
      <c r="F748" s="1">
        <v>45772</v>
      </c>
      <c r="G748" t="s">
        <v>43</v>
      </c>
      <c r="H748" t="s">
        <v>63</v>
      </c>
      <c r="I748">
        <v>3796</v>
      </c>
      <c r="J748" t="s">
        <v>19</v>
      </c>
      <c r="K748" t="s">
        <v>40</v>
      </c>
      <c r="L748" t="s">
        <v>21</v>
      </c>
      <c r="M748" t="s">
        <v>29</v>
      </c>
      <c r="N748">
        <v>4</v>
      </c>
      <c r="O748" t="str">
        <f t="shared" si="11"/>
        <v>Extended</v>
      </c>
    </row>
    <row r="749" spans="1:15" x14ac:dyDescent="0.3">
      <c r="A749" t="s">
        <v>1540</v>
      </c>
      <c r="B749" t="s">
        <v>1541</v>
      </c>
      <c r="C749">
        <v>78</v>
      </c>
      <c r="D749" t="s">
        <v>25</v>
      </c>
      <c r="E749" s="1">
        <v>45665</v>
      </c>
      <c r="F749" s="1">
        <v>45667</v>
      </c>
      <c r="G749" t="s">
        <v>26</v>
      </c>
      <c r="H749" t="s">
        <v>63</v>
      </c>
      <c r="I749">
        <v>3804</v>
      </c>
      <c r="J749" t="s">
        <v>34</v>
      </c>
      <c r="K749" t="s">
        <v>20</v>
      </c>
      <c r="L749" t="s">
        <v>36</v>
      </c>
      <c r="M749" t="s">
        <v>50</v>
      </c>
      <c r="N749">
        <v>2</v>
      </c>
      <c r="O749" t="str">
        <f t="shared" si="11"/>
        <v>Normal</v>
      </c>
    </row>
    <row r="750" spans="1:15" x14ac:dyDescent="0.3">
      <c r="A750" t="s">
        <v>1542</v>
      </c>
      <c r="B750" t="s">
        <v>1543</v>
      </c>
      <c r="C750">
        <v>29</v>
      </c>
      <c r="D750" t="s">
        <v>25</v>
      </c>
      <c r="E750" s="1">
        <v>45585</v>
      </c>
      <c r="F750" s="1">
        <v>45599</v>
      </c>
      <c r="G750" t="s">
        <v>32</v>
      </c>
      <c r="H750" t="s">
        <v>89</v>
      </c>
      <c r="I750">
        <v>8777</v>
      </c>
      <c r="J750" t="s">
        <v>19</v>
      </c>
      <c r="K750" t="s">
        <v>133</v>
      </c>
      <c r="L750" t="s">
        <v>36</v>
      </c>
      <c r="M750" t="s">
        <v>22</v>
      </c>
      <c r="N750">
        <v>14</v>
      </c>
      <c r="O750" t="str">
        <f t="shared" si="11"/>
        <v>Extended</v>
      </c>
    </row>
    <row r="751" spans="1:15" x14ac:dyDescent="0.3">
      <c r="A751" t="s">
        <v>1544</v>
      </c>
      <c r="B751" t="s">
        <v>1545</v>
      </c>
      <c r="C751">
        <v>16</v>
      </c>
      <c r="D751" t="s">
        <v>25</v>
      </c>
      <c r="E751" s="1">
        <v>45709</v>
      </c>
      <c r="F751" s="1">
        <v>45715</v>
      </c>
      <c r="G751" t="s">
        <v>66</v>
      </c>
      <c r="H751" t="s">
        <v>39</v>
      </c>
      <c r="I751">
        <v>2030</v>
      </c>
      <c r="J751" t="s">
        <v>19</v>
      </c>
      <c r="K751" t="s">
        <v>44</v>
      </c>
      <c r="L751" t="s">
        <v>21</v>
      </c>
      <c r="M751" t="s">
        <v>22</v>
      </c>
      <c r="N751">
        <v>6</v>
      </c>
      <c r="O751" t="str">
        <f t="shared" si="11"/>
        <v>Extended</v>
      </c>
    </row>
    <row r="752" spans="1:15" x14ac:dyDescent="0.3">
      <c r="A752" t="s">
        <v>1546</v>
      </c>
      <c r="B752" t="s">
        <v>1547</v>
      </c>
      <c r="C752">
        <v>20</v>
      </c>
      <c r="D752" t="s">
        <v>25</v>
      </c>
      <c r="E752" s="1">
        <v>45780</v>
      </c>
      <c r="F752" s="1">
        <v>45784</v>
      </c>
      <c r="G752" t="s">
        <v>66</v>
      </c>
      <c r="H752" t="s">
        <v>58</v>
      </c>
      <c r="I752">
        <v>3118</v>
      </c>
      <c r="J752" t="s">
        <v>19</v>
      </c>
      <c r="K752" t="s">
        <v>35</v>
      </c>
      <c r="L752" t="s">
        <v>45</v>
      </c>
      <c r="M752" t="s">
        <v>22</v>
      </c>
      <c r="N752">
        <v>4</v>
      </c>
      <c r="O752" t="str">
        <f t="shared" si="11"/>
        <v>Extended</v>
      </c>
    </row>
    <row r="753" spans="1:15" x14ac:dyDescent="0.3">
      <c r="A753" t="s">
        <v>1548</v>
      </c>
      <c r="B753" t="s">
        <v>1549</v>
      </c>
      <c r="C753">
        <v>21</v>
      </c>
      <c r="D753" t="s">
        <v>25</v>
      </c>
      <c r="E753" s="1">
        <v>45546</v>
      </c>
      <c r="F753" s="1">
        <v>45558</v>
      </c>
      <c r="G753" t="s">
        <v>17</v>
      </c>
      <c r="H753" t="s">
        <v>58</v>
      </c>
      <c r="I753">
        <v>9548</v>
      </c>
      <c r="J753" t="s">
        <v>19</v>
      </c>
      <c r="K753" t="s">
        <v>133</v>
      </c>
      <c r="L753" t="s">
        <v>45</v>
      </c>
      <c r="M753" t="s">
        <v>50</v>
      </c>
      <c r="N753">
        <v>12</v>
      </c>
      <c r="O753" t="str">
        <f t="shared" si="11"/>
        <v>Extended</v>
      </c>
    </row>
    <row r="754" spans="1:15" x14ac:dyDescent="0.3">
      <c r="A754" t="s">
        <v>1550</v>
      </c>
      <c r="B754" t="s">
        <v>1551</v>
      </c>
      <c r="C754">
        <v>18</v>
      </c>
      <c r="D754" t="s">
        <v>25</v>
      </c>
      <c r="E754" s="1">
        <v>45583</v>
      </c>
      <c r="F754" s="1">
        <v>45585</v>
      </c>
      <c r="G754" t="s">
        <v>32</v>
      </c>
      <c r="H754" t="s">
        <v>18</v>
      </c>
      <c r="I754">
        <v>4757</v>
      </c>
      <c r="J754" t="s">
        <v>19</v>
      </c>
      <c r="K754" t="s">
        <v>49</v>
      </c>
      <c r="L754" t="s">
        <v>21</v>
      </c>
      <c r="M754" t="s">
        <v>50</v>
      </c>
      <c r="N754">
        <v>2</v>
      </c>
      <c r="O754" t="str">
        <f t="shared" si="11"/>
        <v>Normal</v>
      </c>
    </row>
    <row r="755" spans="1:15" x14ac:dyDescent="0.3">
      <c r="A755" t="s">
        <v>1552</v>
      </c>
      <c r="B755" t="s">
        <v>1553</v>
      </c>
      <c r="C755">
        <v>69</v>
      </c>
      <c r="D755" t="s">
        <v>25</v>
      </c>
      <c r="E755" s="1">
        <v>45634</v>
      </c>
      <c r="F755" s="1">
        <v>45645</v>
      </c>
      <c r="G755" t="s">
        <v>17</v>
      </c>
      <c r="H755" t="s">
        <v>53</v>
      </c>
      <c r="I755">
        <v>4042</v>
      </c>
      <c r="J755" t="s">
        <v>34</v>
      </c>
      <c r="K755" t="s">
        <v>20</v>
      </c>
      <c r="L755" t="s">
        <v>45</v>
      </c>
      <c r="M755" t="s">
        <v>50</v>
      </c>
      <c r="N755">
        <v>11</v>
      </c>
      <c r="O755" t="str">
        <f t="shared" si="11"/>
        <v>Extended</v>
      </c>
    </row>
    <row r="756" spans="1:15" x14ac:dyDescent="0.3">
      <c r="A756" t="s">
        <v>1554</v>
      </c>
      <c r="B756" t="s">
        <v>1555</v>
      </c>
      <c r="C756">
        <v>51</v>
      </c>
      <c r="D756" t="s">
        <v>16</v>
      </c>
      <c r="E756" s="1">
        <v>45458</v>
      </c>
      <c r="F756" s="1">
        <v>45462</v>
      </c>
      <c r="G756" t="s">
        <v>62</v>
      </c>
      <c r="H756" t="s">
        <v>33</v>
      </c>
      <c r="I756">
        <v>5626</v>
      </c>
      <c r="J756" t="s">
        <v>34</v>
      </c>
      <c r="K756" t="s">
        <v>54</v>
      </c>
      <c r="L756" t="s">
        <v>78</v>
      </c>
      <c r="M756" t="s">
        <v>50</v>
      </c>
      <c r="N756">
        <v>4</v>
      </c>
      <c r="O756" t="str">
        <f t="shared" si="11"/>
        <v>Extended</v>
      </c>
    </row>
    <row r="757" spans="1:15" x14ac:dyDescent="0.3">
      <c r="A757" t="s">
        <v>1556</v>
      </c>
      <c r="B757" t="s">
        <v>1557</v>
      </c>
      <c r="C757">
        <v>49</v>
      </c>
      <c r="D757" t="s">
        <v>16</v>
      </c>
      <c r="E757" s="1">
        <v>45759</v>
      </c>
      <c r="F757" s="1">
        <v>45762</v>
      </c>
      <c r="G757" t="s">
        <v>94</v>
      </c>
      <c r="H757" t="s">
        <v>63</v>
      </c>
      <c r="I757">
        <v>6685</v>
      </c>
      <c r="J757" t="s">
        <v>19</v>
      </c>
      <c r="K757" t="s">
        <v>40</v>
      </c>
      <c r="L757" t="s">
        <v>21</v>
      </c>
      <c r="M757" t="s">
        <v>29</v>
      </c>
      <c r="N757">
        <v>3</v>
      </c>
      <c r="O757" t="str">
        <f t="shared" si="11"/>
        <v>Normal</v>
      </c>
    </row>
    <row r="758" spans="1:15" x14ac:dyDescent="0.3">
      <c r="A758" t="s">
        <v>1558</v>
      </c>
      <c r="B758" t="s">
        <v>1559</v>
      </c>
      <c r="C758">
        <v>11</v>
      </c>
      <c r="D758" t="s">
        <v>25</v>
      </c>
      <c r="E758" s="1">
        <v>45596</v>
      </c>
      <c r="F758" s="1">
        <v>45599</v>
      </c>
      <c r="G758" t="s">
        <v>66</v>
      </c>
      <c r="H758" t="s">
        <v>48</v>
      </c>
      <c r="I758">
        <v>7833</v>
      </c>
      <c r="J758" t="s">
        <v>34</v>
      </c>
      <c r="K758" t="s">
        <v>40</v>
      </c>
      <c r="L758" t="s">
        <v>36</v>
      </c>
      <c r="M758" t="s">
        <v>29</v>
      </c>
      <c r="N758">
        <v>3</v>
      </c>
      <c r="O758" t="str">
        <f t="shared" si="11"/>
        <v>Normal</v>
      </c>
    </row>
    <row r="759" spans="1:15" x14ac:dyDescent="0.3">
      <c r="A759" t="s">
        <v>1560</v>
      </c>
      <c r="B759" t="s">
        <v>1561</v>
      </c>
      <c r="C759">
        <v>33</v>
      </c>
      <c r="D759" t="s">
        <v>25</v>
      </c>
      <c r="E759" s="1">
        <v>45466</v>
      </c>
      <c r="F759" s="1">
        <v>45478</v>
      </c>
      <c r="G759" t="s">
        <v>17</v>
      </c>
      <c r="H759" t="s">
        <v>53</v>
      </c>
      <c r="I759">
        <v>9915</v>
      </c>
      <c r="J759" t="s">
        <v>34</v>
      </c>
      <c r="K759" t="s">
        <v>54</v>
      </c>
      <c r="L759" t="s">
        <v>45</v>
      </c>
      <c r="M759" t="s">
        <v>22</v>
      </c>
      <c r="N759">
        <v>12</v>
      </c>
      <c r="O759" t="str">
        <f t="shared" si="11"/>
        <v>Extended</v>
      </c>
    </row>
    <row r="760" spans="1:15" x14ac:dyDescent="0.3">
      <c r="A760" t="s">
        <v>1562</v>
      </c>
      <c r="B760" t="s">
        <v>1563</v>
      </c>
      <c r="C760">
        <v>85</v>
      </c>
      <c r="D760" t="s">
        <v>16</v>
      </c>
      <c r="E760" s="1">
        <v>45517</v>
      </c>
      <c r="F760" s="1">
        <v>45527</v>
      </c>
      <c r="G760" t="s">
        <v>17</v>
      </c>
      <c r="H760" t="s">
        <v>33</v>
      </c>
      <c r="I760">
        <v>6158</v>
      </c>
      <c r="J760" t="s">
        <v>19</v>
      </c>
      <c r="K760" t="s">
        <v>54</v>
      </c>
      <c r="L760" t="s">
        <v>45</v>
      </c>
      <c r="M760" t="s">
        <v>29</v>
      </c>
      <c r="N760">
        <v>10</v>
      </c>
      <c r="O760" t="str">
        <f t="shared" si="11"/>
        <v>Extended</v>
      </c>
    </row>
    <row r="761" spans="1:15" x14ac:dyDescent="0.3">
      <c r="A761" t="s">
        <v>1564</v>
      </c>
      <c r="B761" t="s">
        <v>1565</v>
      </c>
      <c r="C761">
        <v>52</v>
      </c>
      <c r="D761" t="s">
        <v>25</v>
      </c>
      <c r="E761" s="1">
        <v>45457</v>
      </c>
      <c r="F761" s="1">
        <v>45461</v>
      </c>
      <c r="G761" t="s">
        <v>62</v>
      </c>
      <c r="H761" t="s">
        <v>27</v>
      </c>
      <c r="I761">
        <v>7408</v>
      </c>
      <c r="J761" t="s">
        <v>34</v>
      </c>
      <c r="K761" t="s">
        <v>133</v>
      </c>
      <c r="L761" t="s">
        <v>59</v>
      </c>
      <c r="M761" t="s">
        <v>29</v>
      </c>
      <c r="N761">
        <v>4</v>
      </c>
      <c r="O761" t="str">
        <f t="shared" si="11"/>
        <v>Extended</v>
      </c>
    </row>
    <row r="762" spans="1:15" x14ac:dyDescent="0.3">
      <c r="A762" t="s">
        <v>1566</v>
      </c>
      <c r="B762" t="s">
        <v>1567</v>
      </c>
      <c r="C762">
        <v>49</v>
      </c>
      <c r="D762" t="s">
        <v>25</v>
      </c>
      <c r="E762" s="1">
        <v>45590</v>
      </c>
      <c r="F762" s="1">
        <v>45601</v>
      </c>
      <c r="G762" t="s">
        <v>94</v>
      </c>
      <c r="H762" t="s">
        <v>48</v>
      </c>
      <c r="I762">
        <v>4741</v>
      </c>
      <c r="J762" t="s">
        <v>19</v>
      </c>
      <c r="K762" t="s">
        <v>20</v>
      </c>
      <c r="L762" t="s">
        <v>78</v>
      </c>
      <c r="M762" t="s">
        <v>29</v>
      </c>
      <c r="N762">
        <v>11</v>
      </c>
      <c r="O762" t="str">
        <f t="shared" si="11"/>
        <v>Extended</v>
      </c>
    </row>
    <row r="763" spans="1:15" x14ac:dyDescent="0.3">
      <c r="A763" t="s">
        <v>1568</v>
      </c>
      <c r="B763" t="s">
        <v>1569</v>
      </c>
      <c r="C763">
        <v>77</v>
      </c>
      <c r="D763" t="s">
        <v>16</v>
      </c>
      <c r="E763" s="1">
        <v>45769</v>
      </c>
      <c r="F763" s="1">
        <v>45782</v>
      </c>
      <c r="G763" t="s">
        <v>26</v>
      </c>
      <c r="H763" t="s">
        <v>73</v>
      </c>
      <c r="I763">
        <v>5462</v>
      </c>
      <c r="J763" t="s">
        <v>19</v>
      </c>
      <c r="K763" t="s">
        <v>40</v>
      </c>
      <c r="L763" t="s">
        <v>55</v>
      </c>
      <c r="M763" t="s">
        <v>29</v>
      </c>
      <c r="N763">
        <v>13</v>
      </c>
      <c r="O763" t="str">
        <f t="shared" si="11"/>
        <v>Extended</v>
      </c>
    </row>
    <row r="764" spans="1:15" x14ac:dyDescent="0.3">
      <c r="A764" t="s">
        <v>1570</v>
      </c>
      <c r="B764" t="s">
        <v>1571</v>
      </c>
      <c r="C764">
        <v>31</v>
      </c>
      <c r="D764" t="s">
        <v>16</v>
      </c>
      <c r="E764" s="1">
        <v>45622</v>
      </c>
      <c r="F764" s="1">
        <v>45634</v>
      </c>
      <c r="G764" t="s">
        <v>32</v>
      </c>
      <c r="H764" t="s">
        <v>58</v>
      </c>
      <c r="I764">
        <v>8267</v>
      </c>
      <c r="J764" t="s">
        <v>34</v>
      </c>
      <c r="K764" t="s">
        <v>40</v>
      </c>
      <c r="L764" t="s">
        <v>45</v>
      </c>
      <c r="M764" t="s">
        <v>50</v>
      </c>
      <c r="N764">
        <v>12</v>
      </c>
      <c r="O764" t="str">
        <f t="shared" si="11"/>
        <v>Extended</v>
      </c>
    </row>
    <row r="765" spans="1:15" x14ac:dyDescent="0.3">
      <c r="A765" t="s">
        <v>1572</v>
      </c>
      <c r="B765" t="s">
        <v>1573</v>
      </c>
      <c r="C765">
        <v>77</v>
      </c>
      <c r="D765" t="s">
        <v>16</v>
      </c>
      <c r="E765" s="1">
        <v>45731</v>
      </c>
      <c r="F765" s="1">
        <v>45732</v>
      </c>
      <c r="G765" t="s">
        <v>32</v>
      </c>
      <c r="H765" t="s">
        <v>53</v>
      </c>
      <c r="I765">
        <v>6491</v>
      </c>
      <c r="J765" t="s">
        <v>19</v>
      </c>
      <c r="K765" t="s">
        <v>40</v>
      </c>
      <c r="L765" t="s">
        <v>21</v>
      </c>
      <c r="M765" t="s">
        <v>29</v>
      </c>
      <c r="N765">
        <v>1</v>
      </c>
      <c r="O765" t="str">
        <f t="shared" si="11"/>
        <v>Normal</v>
      </c>
    </row>
    <row r="766" spans="1:15" x14ac:dyDescent="0.3">
      <c r="A766" t="s">
        <v>1574</v>
      </c>
      <c r="B766" t="s">
        <v>1575</v>
      </c>
      <c r="C766">
        <v>44</v>
      </c>
      <c r="D766" t="s">
        <v>16</v>
      </c>
      <c r="E766" s="1">
        <v>45445</v>
      </c>
      <c r="F766" s="1">
        <v>45458</v>
      </c>
      <c r="G766" t="s">
        <v>43</v>
      </c>
      <c r="H766" t="s">
        <v>18</v>
      </c>
      <c r="I766">
        <v>1170</v>
      </c>
      <c r="J766" t="s">
        <v>34</v>
      </c>
      <c r="K766" t="s">
        <v>54</v>
      </c>
      <c r="L766" t="s">
        <v>21</v>
      </c>
      <c r="M766" t="s">
        <v>29</v>
      </c>
      <c r="N766">
        <v>13</v>
      </c>
      <c r="O766" t="str">
        <f t="shared" si="11"/>
        <v>Extended</v>
      </c>
    </row>
    <row r="767" spans="1:15" x14ac:dyDescent="0.3">
      <c r="A767" t="s">
        <v>1576</v>
      </c>
      <c r="B767" t="s">
        <v>1577</v>
      </c>
      <c r="C767">
        <v>16</v>
      </c>
      <c r="D767" t="s">
        <v>16</v>
      </c>
      <c r="E767" s="1">
        <v>45641</v>
      </c>
      <c r="F767" s="1">
        <v>45643</v>
      </c>
      <c r="G767" t="s">
        <v>17</v>
      </c>
      <c r="H767" t="s">
        <v>73</v>
      </c>
      <c r="I767">
        <v>1432</v>
      </c>
      <c r="J767" t="s">
        <v>34</v>
      </c>
      <c r="K767" t="s">
        <v>35</v>
      </c>
      <c r="L767" t="s">
        <v>28</v>
      </c>
      <c r="M767" t="s">
        <v>22</v>
      </c>
      <c r="N767">
        <v>2</v>
      </c>
      <c r="O767" t="str">
        <f t="shared" si="11"/>
        <v>Normal</v>
      </c>
    </row>
    <row r="768" spans="1:15" x14ac:dyDescent="0.3">
      <c r="A768" t="s">
        <v>1578</v>
      </c>
      <c r="B768" t="s">
        <v>1579</v>
      </c>
      <c r="C768">
        <v>86</v>
      </c>
      <c r="D768" t="s">
        <v>25</v>
      </c>
      <c r="E768" s="1">
        <v>45681</v>
      </c>
      <c r="F768" s="1">
        <v>45694</v>
      </c>
      <c r="G768" t="s">
        <v>26</v>
      </c>
      <c r="H768" t="s">
        <v>63</v>
      </c>
      <c r="I768">
        <v>2527</v>
      </c>
      <c r="J768" t="s">
        <v>19</v>
      </c>
      <c r="K768" t="s">
        <v>49</v>
      </c>
      <c r="L768" t="s">
        <v>28</v>
      </c>
      <c r="M768" t="s">
        <v>22</v>
      </c>
      <c r="N768">
        <v>13</v>
      </c>
      <c r="O768" t="str">
        <f t="shared" si="11"/>
        <v>Extended</v>
      </c>
    </row>
    <row r="769" spans="1:15" x14ac:dyDescent="0.3">
      <c r="A769" t="s">
        <v>1580</v>
      </c>
      <c r="B769" t="s">
        <v>1581</v>
      </c>
      <c r="C769">
        <v>89</v>
      </c>
      <c r="D769" t="s">
        <v>16</v>
      </c>
      <c r="E769" s="1">
        <v>45464</v>
      </c>
      <c r="F769" s="1">
        <v>45472</v>
      </c>
      <c r="G769" t="s">
        <v>43</v>
      </c>
      <c r="H769" t="s">
        <v>27</v>
      </c>
      <c r="I769">
        <v>3621</v>
      </c>
      <c r="J769" t="s">
        <v>19</v>
      </c>
      <c r="K769" t="s">
        <v>44</v>
      </c>
      <c r="L769" t="s">
        <v>36</v>
      </c>
      <c r="M769" t="s">
        <v>50</v>
      </c>
      <c r="N769">
        <v>8</v>
      </c>
      <c r="O769" t="str">
        <f t="shared" si="11"/>
        <v>Extended</v>
      </c>
    </row>
    <row r="770" spans="1:15" x14ac:dyDescent="0.3">
      <c r="A770" t="s">
        <v>1582</v>
      </c>
      <c r="B770" t="s">
        <v>1583</v>
      </c>
      <c r="C770">
        <v>27</v>
      </c>
      <c r="D770" t="s">
        <v>16</v>
      </c>
      <c r="E770" s="1">
        <v>45689</v>
      </c>
      <c r="F770" s="1">
        <v>45690</v>
      </c>
      <c r="G770" t="s">
        <v>62</v>
      </c>
      <c r="H770" t="s">
        <v>73</v>
      </c>
      <c r="I770">
        <v>8510</v>
      </c>
      <c r="J770" t="s">
        <v>19</v>
      </c>
      <c r="K770" t="s">
        <v>133</v>
      </c>
      <c r="L770" t="s">
        <v>59</v>
      </c>
      <c r="M770" t="s">
        <v>22</v>
      </c>
      <c r="N770">
        <v>1</v>
      </c>
      <c r="O770" t="str">
        <f t="shared" si="11"/>
        <v>Normal</v>
      </c>
    </row>
    <row r="771" spans="1:15" x14ac:dyDescent="0.3">
      <c r="A771" t="s">
        <v>1584</v>
      </c>
      <c r="B771" t="s">
        <v>1585</v>
      </c>
      <c r="C771">
        <v>13</v>
      </c>
      <c r="D771" t="s">
        <v>25</v>
      </c>
      <c r="E771" s="1">
        <v>45525</v>
      </c>
      <c r="F771" s="1">
        <v>45528</v>
      </c>
      <c r="G771" t="s">
        <v>43</v>
      </c>
      <c r="H771" t="s">
        <v>33</v>
      </c>
      <c r="I771">
        <v>3530</v>
      </c>
      <c r="J771" t="s">
        <v>19</v>
      </c>
      <c r="K771" t="s">
        <v>35</v>
      </c>
      <c r="L771" t="s">
        <v>78</v>
      </c>
      <c r="M771" t="s">
        <v>22</v>
      </c>
      <c r="N771">
        <v>3</v>
      </c>
      <c r="O771" t="str">
        <f t="shared" ref="O771:O834" si="12">IF(N771&gt;3,"Extended","Normal")</f>
        <v>Normal</v>
      </c>
    </row>
    <row r="772" spans="1:15" x14ac:dyDescent="0.3">
      <c r="A772" t="s">
        <v>1586</v>
      </c>
      <c r="B772" t="s">
        <v>1587</v>
      </c>
      <c r="C772">
        <v>43</v>
      </c>
      <c r="D772" t="s">
        <v>25</v>
      </c>
      <c r="E772" s="1">
        <v>45442</v>
      </c>
      <c r="F772" s="1">
        <v>45453</v>
      </c>
      <c r="G772" t="s">
        <v>26</v>
      </c>
      <c r="H772" t="s">
        <v>53</v>
      </c>
      <c r="I772">
        <v>3287</v>
      </c>
      <c r="J772" t="s">
        <v>19</v>
      </c>
      <c r="K772" t="s">
        <v>40</v>
      </c>
      <c r="L772" t="s">
        <v>36</v>
      </c>
      <c r="M772" t="s">
        <v>50</v>
      </c>
      <c r="N772">
        <v>11</v>
      </c>
      <c r="O772" t="str">
        <f t="shared" si="12"/>
        <v>Extended</v>
      </c>
    </row>
    <row r="773" spans="1:15" x14ac:dyDescent="0.3">
      <c r="A773" t="s">
        <v>1588</v>
      </c>
      <c r="B773" t="s">
        <v>1589</v>
      </c>
      <c r="C773">
        <v>31</v>
      </c>
      <c r="D773" t="s">
        <v>16</v>
      </c>
      <c r="E773" s="1">
        <v>45547</v>
      </c>
      <c r="F773" s="1">
        <v>45558</v>
      </c>
      <c r="G773" t="s">
        <v>17</v>
      </c>
      <c r="H773" t="s">
        <v>48</v>
      </c>
      <c r="I773">
        <v>5663</v>
      </c>
      <c r="J773" t="s">
        <v>34</v>
      </c>
      <c r="K773" t="s">
        <v>20</v>
      </c>
      <c r="L773" t="s">
        <v>36</v>
      </c>
      <c r="M773" t="s">
        <v>22</v>
      </c>
      <c r="N773">
        <v>11</v>
      </c>
      <c r="O773" t="str">
        <f t="shared" si="12"/>
        <v>Extended</v>
      </c>
    </row>
    <row r="774" spans="1:15" x14ac:dyDescent="0.3">
      <c r="A774" t="s">
        <v>1590</v>
      </c>
      <c r="B774" t="s">
        <v>1591</v>
      </c>
      <c r="C774">
        <v>30</v>
      </c>
      <c r="D774" t="s">
        <v>16</v>
      </c>
      <c r="E774" s="1">
        <v>45494</v>
      </c>
      <c r="F774" s="1">
        <v>45499</v>
      </c>
      <c r="G774" t="s">
        <v>62</v>
      </c>
      <c r="H774" t="s">
        <v>39</v>
      </c>
      <c r="I774">
        <v>8205</v>
      </c>
      <c r="J774" t="s">
        <v>19</v>
      </c>
      <c r="K774" t="s">
        <v>20</v>
      </c>
      <c r="L774" t="s">
        <v>45</v>
      </c>
      <c r="M774" t="s">
        <v>29</v>
      </c>
      <c r="N774">
        <v>5</v>
      </c>
      <c r="O774" t="str">
        <f t="shared" si="12"/>
        <v>Extended</v>
      </c>
    </row>
    <row r="775" spans="1:15" x14ac:dyDescent="0.3">
      <c r="A775" t="s">
        <v>1592</v>
      </c>
      <c r="B775" t="s">
        <v>1593</v>
      </c>
      <c r="C775">
        <v>53</v>
      </c>
      <c r="D775" t="s">
        <v>16</v>
      </c>
      <c r="E775" s="1">
        <v>45739</v>
      </c>
      <c r="F775" s="1">
        <v>45744</v>
      </c>
      <c r="G775" t="s">
        <v>26</v>
      </c>
      <c r="H775" t="s">
        <v>48</v>
      </c>
      <c r="I775">
        <v>4893</v>
      </c>
      <c r="J775" t="s">
        <v>34</v>
      </c>
      <c r="K775" t="s">
        <v>44</v>
      </c>
      <c r="L775" t="s">
        <v>28</v>
      </c>
      <c r="M775" t="s">
        <v>29</v>
      </c>
      <c r="N775">
        <v>5</v>
      </c>
      <c r="O775" t="str">
        <f t="shared" si="12"/>
        <v>Extended</v>
      </c>
    </row>
    <row r="776" spans="1:15" x14ac:dyDescent="0.3">
      <c r="A776" t="s">
        <v>1594</v>
      </c>
      <c r="B776" t="s">
        <v>1595</v>
      </c>
      <c r="C776">
        <v>67</v>
      </c>
      <c r="D776" t="s">
        <v>16</v>
      </c>
      <c r="E776" s="1">
        <v>45758</v>
      </c>
      <c r="F776" s="1">
        <v>45762</v>
      </c>
      <c r="G776" t="s">
        <v>66</v>
      </c>
      <c r="H776" t="s">
        <v>33</v>
      </c>
      <c r="I776">
        <v>7294</v>
      </c>
      <c r="J776" t="s">
        <v>19</v>
      </c>
      <c r="K776" t="s">
        <v>40</v>
      </c>
      <c r="L776" t="s">
        <v>36</v>
      </c>
      <c r="M776" t="s">
        <v>50</v>
      </c>
      <c r="N776">
        <v>4</v>
      </c>
      <c r="O776" t="str">
        <f t="shared" si="12"/>
        <v>Extended</v>
      </c>
    </row>
    <row r="777" spans="1:15" x14ac:dyDescent="0.3">
      <c r="A777" t="s">
        <v>1596</v>
      </c>
      <c r="B777" t="s">
        <v>1597</v>
      </c>
      <c r="C777">
        <v>1</v>
      </c>
      <c r="D777" t="s">
        <v>25</v>
      </c>
      <c r="E777" s="1">
        <v>45590</v>
      </c>
      <c r="F777" s="1">
        <v>45601</v>
      </c>
      <c r="G777" t="s">
        <v>32</v>
      </c>
      <c r="H777" t="s">
        <v>58</v>
      </c>
      <c r="I777">
        <v>1711</v>
      </c>
      <c r="J777" t="s">
        <v>34</v>
      </c>
      <c r="K777" t="s">
        <v>44</v>
      </c>
      <c r="L777" t="s">
        <v>78</v>
      </c>
      <c r="M777" t="s">
        <v>29</v>
      </c>
      <c r="N777">
        <v>11</v>
      </c>
      <c r="O777" t="str">
        <f t="shared" si="12"/>
        <v>Extended</v>
      </c>
    </row>
    <row r="778" spans="1:15" x14ac:dyDescent="0.3">
      <c r="A778" t="s">
        <v>1598</v>
      </c>
      <c r="B778" t="s">
        <v>1599</v>
      </c>
      <c r="C778">
        <v>35</v>
      </c>
      <c r="D778" t="s">
        <v>16</v>
      </c>
      <c r="E778" s="1">
        <v>45558</v>
      </c>
      <c r="F778" s="1">
        <v>45565</v>
      </c>
      <c r="G778" t="s">
        <v>94</v>
      </c>
      <c r="H778" t="s">
        <v>73</v>
      </c>
      <c r="I778">
        <v>9096</v>
      </c>
      <c r="J778" t="s">
        <v>19</v>
      </c>
      <c r="K778" t="s">
        <v>35</v>
      </c>
      <c r="L778" t="s">
        <v>59</v>
      </c>
      <c r="M778" t="s">
        <v>22</v>
      </c>
      <c r="N778">
        <v>7</v>
      </c>
      <c r="O778" t="str">
        <f t="shared" si="12"/>
        <v>Extended</v>
      </c>
    </row>
    <row r="779" spans="1:15" x14ac:dyDescent="0.3">
      <c r="A779" t="s">
        <v>1600</v>
      </c>
      <c r="B779" t="s">
        <v>1601</v>
      </c>
      <c r="C779">
        <v>48</v>
      </c>
      <c r="D779" t="s">
        <v>16</v>
      </c>
      <c r="E779" s="1">
        <v>45441</v>
      </c>
      <c r="F779" s="1">
        <v>45450</v>
      </c>
      <c r="G779" t="s">
        <v>62</v>
      </c>
      <c r="H779" t="s">
        <v>53</v>
      </c>
      <c r="I779">
        <v>1121</v>
      </c>
      <c r="J779" t="s">
        <v>34</v>
      </c>
      <c r="K779" t="s">
        <v>49</v>
      </c>
      <c r="L779" t="s">
        <v>36</v>
      </c>
      <c r="M779" t="s">
        <v>29</v>
      </c>
      <c r="N779">
        <v>9</v>
      </c>
      <c r="O779" t="str">
        <f t="shared" si="12"/>
        <v>Extended</v>
      </c>
    </row>
    <row r="780" spans="1:15" x14ac:dyDescent="0.3">
      <c r="A780" t="s">
        <v>1602</v>
      </c>
      <c r="B780" t="s">
        <v>1603</v>
      </c>
      <c r="C780">
        <v>38</v>
      </c>
      <c r="D780" t="s">
        <v>16</v>
      </c>
      <c r="E780" s="1">
        <v>45453</v>
      </c>
      <c r="F780" s="1">
        <v>45455</v>
      </c>
      <c r="G780" t="s">
        <v>66</v>
      </c>
      <c r="H780" t="s">
        <v>53</v>
      </c>
      <c r="I780">
        <v>6409</v>
      </c>
      <c r="J780" t="s">
        <v>34</v>
      </c>
      <c r="K780" t="s">
        <v>49</v>
      </c>
      <c r="L780" t="s">
        <v>21</v>
      </c>
      <c r="M780" t="s">
        <v>50</v>
      </c>
      <c r="N780">
        <v>2</v>
      </c>
      <c r="O780" t="str">
        <f t="shared" si="12"/>
        <v>Normal</v>
      </c>
    </row>
    <row r="781" spans="1:15" x14ac:dyDescent="0.3">
      <c r="A781" t="s">
        <v>1604</v>
      </c>
      <c r="B781" t="s">
        <v>1605</v>
      </c>
      <c r="C781">
        <v>38</v>
      </c>
      <c r="D781" t="s">
        <v>16</v>
      </c>
      <c r="E781" s="1">
        <v>45526</v>
      </c>
      <c r="F781" s="1">
        <v>45533</v>
      </c>
      <c r="G781" t="s">
        <v>26</v>
      </c>
      <c r="H781" t="s">
        <v>63</v>
      </c>
      <c r="I781">
        <v>3731</v>
      </c>
      <c r="J781" t="s">
        <v>34</v>
      </c>
      <c r="K781" t="s">
        <v>35</v>
      </c>
      <c r="L781" t="s">
        <v>28</v>
      </c>
      <c r="M781" t="s">
        <v>50</v>
      </c>
      <c r="N781">
        <v>7</v>
      </c>
      <c r="O781" t="str">
        <f t="shared" si="12"/>
        <v>Extended</v>
      </c>
    </row>
    <row r="782" spans="1:15" x14ac:dyDescent="0.3">
      <c r="A782" t="s">
        <v>1606</v>
      </c>
      <c r="B782" t="s">
        <v>1607</v>
      </c>
      <c r="C782">
        <v>36</v>
      </c>
      <c r="D782" t="s">
        <v>16</v>
      </c>
      <c r="E782" s="1">
        <v>45703</v>
      </c>
      <c r="F782" s="1">
        <v>45712</v>
      </c>
      <c r="G782" t="s">
        <v>32</v>
      </c>
      <c r="H782" t="s">
        <v>27</v>
      </c>
      <c r="I782">
        <v>1503</v>
      </c>
      <c r="J782" t="s">
        <v>34</v>
      </c>
      <c r="K782" t="s">
        <v>44</v>
      </c>
      <c r="L782" t="s">
        <v>28</v>
      </c>
      <c r="M782" t="s">
        <v>50</v>
      </c>
      <c r="N782">
        <v>9</v>
      </c>
      <c r="O782" t="str">
        <f t="shared" si="12"/>
        <v>Extended</v>
      </c>
    </row>
    <row r="783" spans="1:15" x14ac:dyDescent="0.3">
      <c r="A783" t="s">
        <v>1608</v>
      </c>
      <c r="B783" t="s">
        <v>1609</v>
      </c>
      <c r="C783">
        <v>2</v>
      </c>
      <c r="D783" t="s">
        <v>25</v>
      </c>
      <c r="E783" s="1">
        <v>45606</v>
      </c>
      <c r="F783" s="1">
        <v>45607</v>
      </c>
      <c r="G783" t="s">
        <v>66</v>
      </c>
      <c r="H783" t="s">
        <v>39</v>
      </c>
      <c r="I783">
        <v>9452</v>
      </c>
      <c r="J783" t="s">
        <v>19</v>
      </c>
      <c r="K783" t="s">
        <v>44</v>
      </c>
      <c r="L783" t="s">
        <v>36</v>
      </c>
      <c r="M783" t="s">
        <v>50</v>
      </c>
      <c r="N783">
        <v>1</v>
      </c>
      <c r="O783" t="str">
        <f t="shared" si="12"/>
        <v>Normal</v>
      </c>
    </row>
    <row r="784" spans="1:15" x14ac:dyDescent="0.3">
      <c r="A784" t="s">
        <v>1610</v>
      </c>
      <c r="B784" t="s">
        <v>1611</v>
      </c>
      <c r="C784">
        <v>50</v>
      </c>
      <c r="D784" t="s">
        <v>16</v>
      </c>
      <c r="E784" s="1">
        <v>45549</v>
      </c>
      <c r="F784" s="1">
        <v>45560</v>
      </c>
      <c r="G784" t="s">
        <v>43</v>
      </c>
      <c r="H784" t="s">
        <v>53</v>
      </c>
      <c r="I784">
        <v>2868</v>
      </c>
      <c r="J784" t="s">
        <v>19</v>
      </c>
      <c r="K784" t="s">
        <v>44</v>
      </c>
      <c r="L784" t="s">
        <v>78</v>
      </c>
      <c r="M784" t="s">
        <v>29</v>
      </c>
      <c r="N784">
        <v>11</v>
      </c>
      <c r="O784" t="str">
        <f t="shared" si="12"/>
        <v>Extended</v>
      </c>
    </row>
    <row r="785" spans="1:15" x14ac:dyDescent="0.3">
      <c r="A785" t="s">
        <v>1612</v>
      </c>
      <c r="B785" t="s">
        <v>1613</v>
      </c>
      <c r="C785">
        <v>2</v>
      </c>
      <c r="D785" t="s">
        <v>25</v>
      </c>
      <c r="E785" s="1">
        <v>45667</v>
      </c>
      <c r="F785" s="1">
        <v>45669</v>
      </c>
      <c r="G785" t="s">
        <v>94</v>
      </c>
      <c r="H785" t="s">
        <v>63</v>
      </c>
      <c r="I785">
        <v>8161</v>
      </c>
      <c r="J785" t="s">
        <v>34</v>
      </c>
      <c r="K785" t="s">
        <v>133</v>
      </c>
      <c r="L785" t="s">
        <v>28</v>
      </c>
      <c r="M785" t="s">
        <v>22</v>
      </c>
      <c r="N785">
        <v>2</v>
      </c>
      <c r="O785" t="str">
        <f t="shared" si="12"/>
        <v>Normal</v>
      </c>
    </row>
    <row r="786" spans="1:15" x14ac:dyDescent="0.3">
      <c r="A786" t="s">
        <v>1614</v>
      </c>
      <c r="B786" t="s">
        <v>1615</v>
      </c>
      <c r="C786">
        <v>25</v>
      </c>
      <c r="D786" t="s">
        <v>25</v>
      </c>
      <c r="E786" s="1">
        <v>45648</v>
      </c>
      <c r="F786" s="1">
        <v>45653</v>
      </c>
      <c r="G786" t="s">
        <v>26</v>
      </c>
      <c r="H786" t="s">
        <v>63</v>
      </c>
      <c r="I786">
        <v>5448</v>
      </c>
      <c r="J786" t="s">
        <v>34</v>
      </c>
      <c r="K786" t="s">
        <v>35</v>
      </c>
      <c r="L786" t="s">
        <v>21</v>
      </c>
      <c r="M786" t="s">
        <v>29</v>
      </c>
      <c r="N786">
        <v>5</v>
      </c>
      <c r="O786" t="str">
        <f t="shared" si="12"/>
        <v>Extended</v>
      </c>
    </row>
    <row r="787" spans="1:15" x14ac:dyDescent="0.3">
      <c r="A787" t="s">
        <v>1616</v>
      </c>
      <c r="B787" t="s">
        <v>1617</v>
      </c>
      <c r="C787">
        <v>82</v>
      </c>
      <c r="D787" t="s">
        <v>25</v>
      </c>
      <c r="E787" s="1">
        <v>45532</v>
      </c>
      <c r="F787" s="1">
        <v>45533</v>
      </c>
      <c r="G787" t="s">
        <v>43</v>
      </c>
      <c r="H787" t="s">
        <v>63</v>
      </c>
      <c r="I787">
        <v>9687</v>
      </c>
      <c r="J787" t="s">
        <v>34</v>
      </c>
      <c r="K787" t="s">
        <v>133</v>
      </c>
      <c r="L787" t="s">
        <v>28</v>
      </c>
      <c r="M787" t="s">
        <v>29</v>
      </c>
      <c r="N787">
        <v>1</v>
      </c>
      <c r="O787" t="str">
        <f t="shared" si="12"/>
        <v>Normal</v>
      </c>
    </row>
    <row r="788" spans="1:15" x14ac:dyDescent="0.3">
      <c r="A788" t="s">
        <v>1618</v>
      </c>
      <c r="B788" t="s">
        <v>1619</v>
      </c>
      <c r="C788">
        <v>83</v>
      </c>
      <c r="D788" t="s">
        <v>25</v>
      </c>
      <c r="E788" s="1">
        <v>45752</v>
      </c>
      <c r="F788" s="1">
        <v>45759</v>
      </c>
      <c r="G788" t="s">
        <v>66</v>
      </c>
      <c r="H788" t="s">
        <v>33</v>
      </c>
      <c r="I788">
        <v>2536</v>
      </c>
      <c r="J788" t="s">
        <v>19</v>
      </c>
      <c r="K788" t="s">
        <v>54</v>
      </c>
      <c r="L788" t="s">
        <v>21</v>
      </c>
      <c r="M788" t="s">
        <v>29</v>
      </c>
      <c r="N788">
        <v>7</v>
      </c>
      <c r="O788" t="str">
        <f t="shared" si="12"/>
        <v>Extended</v>
      </c>
    </row>
    <row r="789" spans="1:15" x14ac:dyDescent="0.3">
      <c r="A789" t="s">
        <v>1620</v>
      </c>
      <c r="B789" t="s">
        <v>1621</v>
      </c>
      <c r="C789">
        <v>65</v>
      </c>
      <c r="D789" t="s">
        <v>25</v>
      </c>
      <c r="E789" s="1">
        <v>45550</v>
      </c>
      <c r="F789" s="1">
        <v>45559</v>
      </c>
      <c r="G789" t="s">
        <v>66</v>
      </c>
      <c r="H789" t="s">
        <v>39</v>
      </c>
      <c r="I789">
        <v>3299</v>
      </c>
      <c r="J789" t="s">
        <v>34</v>
      </c>
      <c r="K789" t="s">
        <v>35</v>
      </c>
      <c r="L789" t="s">
        <v>59</v>
      </c>
      <c r="M789" t="s">
        <v>29</v>
      </c>
      <c r="N789">
        <v>9</v>
      </c>
      <c r="O789" t="str">
        <f t="shared" si="12"/>
        <v>Extended</v>
      </c>
    </row>
    <row r="790" spans="1:15" x14ac:dyDescent="0.3">
      <c r="A790" t="s">
        <v>1622</v>
      </c>
      <c r="B790" t="s">
        <v>1623</v>
      </c>
      <c r="C790">
        <v>29</v>
      </c>
      <c r="D790" t="s">
        <v>16</v>
      </c>
      <c r="E790" s="1">
        <v>45722</v>
      </c>
      <c r="F790" s="1">
        <v>45724</v>
      </c>
      <c r="G790" t="s">
        <v>43</v>
      </c>
      <c r="H790" t="s">
        <v>27</v>
      </c>
      <c r="I790">
        <v>9814</v>
      </c>
      <c r="J790" t="s">
        <v>19</v>
      </c>
      <c r="K790" t="s">
        <v>20</v>
      </c>
      <c r="L790" t="s">
        <v>45</v>
      </c>
      <c r="M790" t="s">
        <v>22</v>
      </c>
      <c r="N790">
        <v>2</v>
      </c>
      <c r="O790" t="str">
        <f t="shared" si="12"/>
        <v>Normal</v>
      </c>
    </row>
    <row r="791" spans="1:15" x14ac:dyDescent="0.3">
      <c r="A791" t="s">
        <v>1624</v>
      </c>
      <c r="B791" t="s">
        <v>1625</v>
      </c>
      <c r="C791">
        <v>11</v>
      </c>
      <c r="D791" t="s">
        <v>16</v>
      </c>
      <c r="E791" s="1">
        <v>45595</v>
      </c>
      <c r="F791" s="1">
        <v>45600</v>
      </c>
      <c r="G791" t="s">
        <v>66</v>
      </c>
      <c r="H791" t="s">
        <v>63</v>
      </c>
      <c r="I791">
        <v>6682</v>
      </c>
      <c r="J791" t="s">
        <v>19</v>
      </c>
      <c r="K791" t="s">
        <v>20</v>
      </c>
      <c r="L791" t="s">
        <v>59</v>
      </c>
      <c r="M791" t="s">
        <v>50</v>
      </c>
      <c r="N791">
        <v>5</v>
      </c>
      <c r="O791" t="str">
        <f t="shared" si="12"/>
        <v>Extended</v>
      </c>
    </row>
    <row r="792" spans="1:15" x14ac:dyDescent="0.3">
      <c r="A792" t="s">
        <v>1626</v>
      </c>
      <c r="B792" t="s">
        <v>1627</v>
      </c>
      <c r="C792">
        <v>37</v>
      </c>
      <c r="D792" t="s">
        <v>16</v>
      </c>
      <c r="E792" s="1">
        <v>45767</v>
      </c>
      <c r="F792" s="1">
        <v>45779</v>
      </c>
      <c r="G792" t="s">
        <v>43</v>
      </c>
      <c r="H792" t="s">
        <v>18</v>
      </c>
      <c r="I792">
        <v>5817</v>
      </c>
      <c r="J792" t="s">
        <v>34</v>
      </c>
      <c r="K792" t="s">
        <v>49</v>
      </c>
      <c r="L792" t="s">
        <v>59</v>
      </c>
      <c r="M792" t="s">
        <v>29</v>
      </c>
      <c r="N792">
        <v>12</v>
      </c>
      <c r="O792" t="str">
        <f t="shared" si="12"/>
        <v>Extended</v>
      </c>
    </row>
    <row r="793" spans="1:15" x14ac:dyDescent="0.3">
      <c r="A793" t="s">
        <v>1628</v>
      </c>
      <c r="B793" t="s">
        <v>1629</v>
      </c>
      <c r="C793">
        <v>42</v>
      </c>
      <c r="D793" t="s">
        <v>25</v>
      </c>
      <c r="E793" s="1">
        <v>45753</v>
      </c>
      <c r="F793" s="1">
        <v>45754</v>
      </c>
      <c r="G793" t="s">
        <v>94</v>
      </c>
      <c r="H793" t="s">
        <v>73</v>
      </c>
      <c r="I793">
        <v>6517</v>
      </c>
      <c r="J793" t="s">
        <v>34</v>
      </c>
      <c r="K793" t="s">
        <v>54</v>
      </c>
      <c r="L793" t="s">
        <v>55</v>
      </c>
      <c r="M793" t="s">
        <v>22</v>
      </c>
      <c r="N793">
        <v>1</v>
      </c>
      <c r="O793" t="str">
        <f t="shared" si="12"/>
        <v>Normal</v>
      </c>
    </row>
    <row r="794" spans="1:15" x14ac:dyDescent="0.3">
      <c r="A794" t="s">
        <v>1630</v>
      </c>
      <c r="B794" t="s">
        <v>1631</v>
      </c>
      <c r="C794">
        <v>27</v>
      </c>
      <c r="D794" t="s">
        <v>25</v>
      </c>
      <c r="E794" s="1">
        <v>45637</v>
      </c>
      <c r="F794" s="1">
        <v>45644</v>
      </c>
      <c r="G794" t="s">
        <v>43</v>
      </c>
      <c r="H794" t="s">
        <v>48</v>
      </c>
      <c r="I794">
        <v>9697</v>
      </c>
      <c r="J794" t="s">
        <v>34</v>
      </c>
      <c r="K794" t="s">
        <v>133</v>
      </c>
      <c r="L794" t="s">
        <v>36</v>
      </c>
      <c r="M794" t="s">
        <v>22</v>
      </c>
      <c r="N794">
        <v>7</v>
      </c>
      <c r="O794" t="str">
        <f t="shared" si="12"/>
        <v>Extended</v>
      </c>
    </row>
    <row r="795" spans="1:15" x14ac:dyDescent="0.3">
      <c r="A795" t="s">
        <v>1632</v>
      </c>
      <c r="B795" t="s">
        <v>1633</v>
      </c>
      <c r="C795">
        <v>43</v>
      </c>
      <c r="D795" t="s">
        <v>16</v>
      </c>
      <c r="E795" s="1">
        <v>45447</v>
      </c>
      <c r="F795" s="1">
        <v>45460</v>
      </c>
      <c r="G795" t="s">
        <v>26</v>
      </c>
      <c r="H795" t="s">
        <v>33</v>
      </c>
      <c r="I795">
        <v>6534</v>
      </c>
      <c r="J795" t="s">
        <v>19</v>
      </c>
      <c r="K795" t="s">
        <v>44</v>
      </c>
      <c r="L795" t="s">
        <v>21</v>
      </c>
      <c r="M795" t="s">
        <v>29</v>
      </c>
      <c r="N795">
        <v>13</v>
      </c>
      <c r="O795" t="str">
        <f t="shared" si="12"/>
        <v>Extended</v>
      </c>
    </row>
    <row r="796" spans="1:15" x14ac:dyDescent="0.3">
      <c r="A796" t="s">
        <v>1634</v>
      </c>
      <c r="B796" t="s">
        <v>1635</v>
      </c>
      <c r="C796">
        <v>47</v>
      </c>
      <c r="D796" t="s">
        <v>16</v>
      </c>
      <c r="E796" s="1">
        <v>45658</v>
      </c>
      <c r="F796" s="1">
        <v>45663</v>
      </c>
      <c r="G796" t="s">
        <v>32</v>
      </c>
      <c r="H796" t="s">
        <v>48</v>
      </c>
      <c r="I796">
        <v>2910</v>
      </c>
      <c r="J796" t="s">
        <v>34</v>
      </c>
      <c r="K796" t="s">
        <v>54</v>
      </c>
      <c r="L796" t="s">
        <v>78</v>
      </c>
      <c r="M796" t="s">
        <v>22</v>
      </c>
      <c r="N796">
        <v>5</v>
      </c>
      <c r="O796" t="str">
        <f t="shared" si="12"/>
        <v>Extended</v>
      </c>
    </row>
    <row r="797" spans="1:15" x14ac:dyDescent="0.3">
      <c r="A797" t="s">
        <v>1636</v>
      </c>
      <c r="B797" t="s">
        <v>1637</v>
      </c>
      <c r="C797">
        <v>82</v>
      </c>
      <c r="D797" t="s">
        <v>25</v>
      </c>
      <c r="E797" s="1">
        <v>45584</v>
      </c>
      <c r="F797" s="1">
        <v>45593</v>
      </c>
      <c r="G797" t="s">
        <v>94</v>
      </c>
      <c r="H797" t="s">
        <v>18</v>
      </c>
      <c r="I797">
        <v>3902</v>
      </c>
      <c r="J797" t="s">
        <v>19</v>
      </c>
      <c r="K797" t="s">
        <v>40</v>
      </c>
      <c r="L797" t="s">
        <v>28</v>
      </c>
      <c r="M797" t="s">
        <v>29</v>
      </c>
      <c r="N797">
        <v>9</v>
      </c>
      <c r="O797" t="str">
        <f t="shared" si="12"/>
        <v>Extended</v>
      </c>
    </row>
    <row r="798" spans="1:15" x14ac:dyDescent="0.3">
      <c r="A798" t="s">
        <v>1638</v>
      </c>
      <c r="B798" t="s">
        <v>1639</v>
      </c>
      <c r="C798">
        <v>29</v>
      </c>
      <c r="D798" t="s">
        <v>16</v>
      </c>
      <c r="E798" s="1">
        <v>45656</v>
      </c>
      <c r="F798" s="1">
        <v>45668</v>
      </c>
      <c r="G798" t="s">
        <v>66</v>
      </c>
      <c r="H798" t="s">
        <v>89</v>
      </c>
      <c r="I798">
        <v>6227</v>
      </c>
      <c r="J798" t="s">
        <v>34</v>
      </c>
      <c r="K798" t="s">
        <v>44</v>
      </c>
      <c r="L798" t="s">
        <v>78</v>
      </c>
      <c r="M798" t="s">
        <v>50</v>
      </c>
      <c r="N798">
        <v>12</v>
      </c>
      <c r="O798" t="str">
        <f t="shared" si="12"/>
        <v>Extended</v>
      </c>
    </row>
    <row r="799" spans="1:15" x14ac:dyDescent="0.3">
      <c r="A799" t="s">
        <v>1640</v>
      </c>
      <c r="B799" t="s">
        <v>1641</v>
      </c>
      <c r="C799">
        <v>41</v>
      </c>
      <c r="D799" t="s">
        <v>16</v>
      </c>
      <c r="E799" s="1">
        <v>45531</v>
      </c>
      <c r="F799" s="1">
        <v>45536</v>
      </c>
      <c r="G799" t="s">
        <v>43</v>
      </c>
      <c r="H799" t="s">
        <v>73</v>
      </c>
      <c r="I799">
        <v>9304</v>
      </c>
      <c r="J799" t="s">
        <v>34</v>
      </c>
      <c r="K799" t="s">
        <v>40</v>
      </c>
      <c r="L799" t="s">
        <v>78</v>
      </c>
      <c r="M799" t="s">
        <v>29</v>
      </c>
      <c r="N799">
        <v>5</v>
      </c>
      <c r="O799" t="str">
        <f t="shared" si="12"/>
        <v>Extended</v>
      </c>
    </row>
    <row r="800" spans="1:15" x14ac:dyDescent="0.3">
      <c r="A800" t="s">
        <v>1642</v>
      </c>
      <c r="B800" t="s">
        <v>1643</v>
      </c>
      <c r="C800">
        <v>21</v>
      </c>
      <c r="D800" t="s">
        <v>16</v>
      </c>
      <c r="E800" s="1">
        <v>45741</v>
      </c>
      <c r="F800" s="1">
        <v>45752</v>
      </c>
      <c r="G800" t="s">
        <v>17</v>
      </c>
      <c r="H800" t="s">
        <v>89</v>
      </c>
      <c r="I800">
        <v>2197</v>
      </c>
      <c r="J800" t="s">
        <v>19</v>
      </c>
      <c r="K800" t="s">
        <v>54</v>
      </c>
      <c r="L800" t="s">
        <v>36</v>
      </c>
      <c r="M800" t="s">
        <v>50</v>
      </c>
      <c r="N800">
        <v>11</v>
      </c>
      <c r="O800" t="str">
        <f t="shared" si="12"/>
        <v>Extended</v>
      </c>
    </row>
    <row r="801" spans="1:15" x14ac:dyDescent="0.3">
      <c r="A801" t="s">
        <v>1644</v>
      </c>
      <c r="B801" t="s">
        <v>1645</v>
      </c>
      <c r="C801">
        <v>77</v>
      </c>
      <c r="D801" t="s">
        <v>25</v>
      </c>
      <c r="E801" s="1">
        <v>45515</v>
      </c>
      <c r="F801" s="1">
        <v>45518</v>
      </c>
      <c r="G801" t="s">
        <v>62</v>
      </c>
      <c r="H801" t="s">
        <v>53</v>
      </c>
      <c r="I801">
        <v>2039</v>
      </c>
      <c r="J801" t="s">
        <v>34</v>
      </c>
      <c r="K801" t="s">
        <v>133</v>
      </c>
      <c r="L801" t="s">
        <v>36</v>
      </c>
      <c r="M801" t="s">
        <v>50</v>
      </c>
      <c r="N801">
        <v>3</v>
      </c>
      <c r="O801" t="str">
        <f t="shared" si="12"/>
        <v>Normal</v>
      </c>
    </row>
    <row r="802" spans="1:15" x14ac:dyDescent="0.3">
      <c r="A802" t="s">
        <v>1646</v>
      </c>
      <c r="B802" t="s">
        <v>1647</v>
      </c>
      <c r="C802">
        <v>46</v>
      </c>
      <c r="D802" t="s">
        <v>16</v>
      </c>
      <c r="E802" s="1">
        <v>45651</v>
      </c>
      <c r="F802" s="1">
        <v>45661</v>
      </c>
      <c r="G802" t="s">
        <v>43</v>
      </c>
      <c r="H802" t="s">
        <v>33</v>
      </c>
      <c r="I802">
        <v>3364</v>
      </c>
      <c r="J802" t="s">
        <v>34</v>
      </c>
      <c r="K802" t="s">
        <v>133</v>
      </c>
      <c r="L802" t="s">
        <v>21</v>
      </c>
      <c r="M802" t="s">
        <v>50</v>
      </c>
      <c r="N802">
        <v>10</v>
      </c>
      <c r="O802" t="str">
        <f t="shared" si="12"/>
        <v>Extended</v>
      </c>
    </row>
    <row r="803" spans="1:15" x14ac:dyDescent="0.3">
      <c r="A803" t="s">
        <v>1648</v>
      </c>
      <c r="B803" t="s">
        <v>1649</v>
      </c>
      <c r="C803">
        <v>81</v>
      </c>
      <c r="D803" t="s">
        <v>25</v>
      </c>
      <c r="E803" s="1">
        <v>45542</v>
      </c>
      <c r="F803" s="1">
        <v>45550</v>
      </c>
      <c r="G803" t="s">
        <v>17</v>
      </c>
      <c r="H803" t="s">
        <v>27</v>
      </c>
      <c r="I803">
        <v>3024</v>
      </c>
      <c r="J803" t="s">
        <v>19</v>
      </c>
      <c r="K803" t="s">
        <v>35</v>
      </c>
      <c r="L803" t="s">
        <v>59</v>
      </c>
      <c r="M803" t="s">
        <v>29</v>
      </c>
      <c r="N803">
        <v>8</v>
      </c>
      <c r="O803" t="str">
        <f t="shared" si="12"/>
        <v>Extended</v>
      </c>
    </row>
    <row r="804" spans="1:15" x14ac:dyDescent="0.3">
      <c r="A804" t="s">
        <v>1650</v>
      </c>
      <c r="B804" t="s">
        <v>1651</v>
      </c>
      <c r="C804">
        <v>45</v>
      </c>
      <c r="D804" t="s">
        <v>25</v>
      </c>
      <c r="E804" s="1">
        <v>45707</v>
      </c>
      <c r="F804" s="1">
        <v>45710</v>
      </c>
      <c r="G804" t="s">
        <v>43</v>
      </c>
      <c r="H804" t="s">
        <v>53</v>
      </c>
      <c r="I804">
        <v>1502</v>
      </c>
      <c r="J804" t="s">
        <v>34</v>
      </c>
      <c r="K804" t="s">
        <v>44</v>
      </c>
      <c r="L804" t="s">
        <v>28</v>
      </c>
      <c r="M804" t="s">
        <v>50</v>
      </c>
      <c r="N804">
        <v>3</v>
      </c>
      <c r="O804" t="str">
        <f t="shared" si="12"/>
        <v>Normal</v>
      </c>
    </row>
    <row r="805" spans="1:15" x14ac:dyDescent="0.3">
      <c r="A805" t="s">
        <v>1652</v>
      </c>
      <c r="B805" t="s">
        <v>1653</v>
      </c>
      <c r="C805">
        <v>14</v>
      </c>
      <c r="D805" t="s">
        <v>25</v>
      </c>
      <c r="E805" s="1">
        <v>45646</v>
      </c>
      <c r="F805" s="1">
        <v>45653</v>
      </c>
      <c r="G805" t="s">
        <v>66</v>
      </c>
      <c r="H805" t="s">
        <v>58</v>
      </c>
      <c r="I805">
        <v>4297</v>
      </c>
      <c r="J805" t="s">
        <v>34</v>
      </c>
      <c r="K805" t="s">
        <v>133</v>
      </c>
      <c r="L805" t="s">
        <v>59</v>
      </c>
      <c r="M805" t="s">
        <v>22</v>
      </c>
      <c r="N805">
        <v>7</v>
      </c>
      <c r="O805" t="str">
        <f t="shared" si="12"/>
        <v>Extended</v>
      </c>
    </row>
    <row r="806" spans="1:15" x14ac:dyDescent="0.3">
      <c r="A806" t="s">
        <v>1654</v>
      </c>
      <c r="B806" t="s">
        <v>1655</v>
      </c>
      <c r="C806">
        <v>10</v>
      </c>
      <c r="D806" t="s">
        <v>16</v>
      </c>
      <c r="E806" s="1">
        <v>45716</v>
      </c>
      <c r="F806" s="1">
        <v>45719</v>
      </c>
      <c r="G806" t="s">
        <v>17</v>
      </c>
      <c r="H806" t="s">
        <v>27</v>
      </c>
      <c r="I806">
        <v>3777</v>
      </c>
      <c r="J806" t="s">
        <v>19</v>
      </c>
      <c r="K806" t="s">
        <v>35</v>
      </c>
      <c r="L806" t="s">
        <v>55</v>
      </c>
      <c r="M806" t="s">
        <v>22</v>
      </c>
      <c r="N806">
        <v>3</v>
      </c>
      <c r="O806" t="str">
        <f t="shared" si="12"/>
        <v>Normal</v>
      </c>
    </row>
    <row r="807" spans="1:15" x14ac:dyDescent="0.3">
      <c r="A807" t="s">
        <v>1656</v>
      </c>
      <c r="B807" t="s">
        <v>1657</v>
      </c>
      <c r="C807">
        <v>88</v>
      </c>
      <c r="D807" t="s">
        <v>25</v>
      </c>
      <c r="E807" s="1">
        <v>45461</v>
      </c>
      <c r="F807" s="1">
        <v>45464</v>
      </c>
      <c r="G807" t="s">
        <v>62</v>
      </c>
      <c r="H807" t="s">
        <v>53</v>
      </c>
      <c r="I807">
        <v>9282</v>
      </c>
      <c r="J807" t="s">
        <v>19</v>
      </c>
      <c r="K807" t="s">
        <v>40</v>
      </c>
      <c r="L807" t="s">
        <v>21</v>
      </c>
      <c r="M807" t="s">
        <v>50</v>
      </c>
      <c r="N807">
        <v>3</v>
      </c>
      <c r="O807" t="str">
        <f t="shared" si="12"/>
        <v>Normal</v>
      </c>
    </row>
    <row r="808" spans="1:15" x14ac:dyDescent="0.3">
      <c r="A808" t="s">
        <v>1658</v>
      </c>
      <c r="B808" t="s">
        <v>1659</v>
      </c>
      <c r="C808">
        <v>16</v>
      </c>
      <c r="D808" t="s">
        <v>16</v>
      </c>
      <c r="E808" s="1">
        <v>45757</v>
      </c>
      <c r="F808" s="1">
        <v>45767</v>
      </c>
      <c r="G808" t="s">
        <v>32</v>
      </c>
      <c r="H808" t="s">
        <v>48</v>
      </c>
      <c r="I808">
        <v>7682</v>
      </c>
      <c r="J808" t="s">
        <v>34</v>
      </c>
      <c r="K808" t="s">
        <v>40</v>
      </c>
      <c r="L808" t="s">
        <v>59</v>
      </c>
      <c r="M808" t="s">
        <v>22</v>
      </c>
      <c r="N808">
        <v>10</v>
      </c>
      <c r="O808" t="str">
        <f t="shared" si="12"/>
        <v>Extended</v>
      </c>
    </row>
    <row r="809" spans="1:15" x14ac:dyDescent="0.3">
      <c r="A809" t="s">
        <v>1660</v>
      </c>
      <c r="B809" t="s">
        <v>1661</v>
      </c>
      <c r="C809">
        <v>29</v>
      </c>
      <c r="D809" t="s">
        <v>25</v>
      </c>
      <c r="E809" s="1">
        <v>45717</v>
      </c>
      <c r="F809" s="1">
        <v>45724</v>
      </c>
      <c r="G809" t="s">
        <v>62</v>
      </c>
      <c r="H809" t="s">
        <v>27</v>
      </c>
      <c r="I809">
        <v>8909</v>
      </c>
      <c r="J809" t="s">
        <v>19</v>
      </c>
      <c r="K809" t="s">
        <v>20</v>
      </c>
      <c r="L809" t="s">
        <v>28</v>
      </c>
      <c r="M809" t="s">
        <v>22</v>
      </c>
      <c r="N809">
        <v>7</v>
      </c>
      <c r="O809" t="str">
        <f t="shared" si="12"/>
        <v>Extended</v>
      </c>
    </row>
    <row r="810" spans="1:15" x14ac:dyDescent="0.3">
      <c r="A810" t="s">
        <v>1662</v>
      </c>
      <c r="B810" t="s">
        <v>1663</v>
      </c>
      <c r="C810">
        <v>64</v>
      </c>
      <c r="D810" t="s">
        <v>16</v>
      </c>
      <c r="E810" s="1">
        <v>45710</v>
      </c>
      <c r="F810" s="1">
        <v>45718</v>
      </c>
      <c r="G810" t="s">
        <v>32</v>
      </c>
      <c r="H810" t="s">
        <v>89</v>
      </c>
      <c r="I810">
        <v>7339</v>
      </c>
      <c r="J810" t="s">
        <v>19</v>
      </c>
      <c r="K810" t="s">
        <v>49</v>
      </c>
      <c r="L810" t="s">
        <v>78</v>
      </c>
      <c r="M810" t="s">
        <v>50</v>
      </c>
      <c r="N810">
        <v>8</v>
      </c>
      <c r="O810" t="str">
        <f t="shared" si="12"/>
        <v>Extended</v>
      </c>
    </row>
    <row r="811" spans="1:15" x14ac:dyDescent="0.3">
      <c r="A811" t="s">
        <v>1664</v>
      </c>
      <c r="B811" t="s">
        <v>1665</v>
      </c>
      <c r="C811">
        <v>59</v>
      </c>
      <c r="D811" t="s">
        <v>25</v>
      </c>
      <c r="E811" s="1">
        <v>45571</v>
      </c>
      <c r="F811" s="1">
        <v>45574</v>
      </c>
      <c r="G811" t="s">
        <v>62</v>
      </c>
      <c r="H811" t="s">
        <v>48</v>
      </c>
      <c r="I811">
        <v>2391</v>
      </c>
      <c r="J811" t="s">
        <v>19</v>
      </c>
      <c r="K811" t="s">
        <v>54</v>
      </c>
      <c r="L811" t="s">
        <v>78</v>
      </c>
      <c r="M811" t="s">
        <v>22</v>
      </c>
      <c r="N811">
        <v>3</v>
      </c>
      <c r="O811" t="str">
        <f t="shared" si="12"/>
        <v>Normal</v>
      </c>
    </row>
    <row r="812" spans="1:15" x14ac:dyDescent="0.3">
      <c r="A812" t="s">
        <v>1666</v>
      </c>
      <c r="B812" t="s">
        <v>1667</v>
      </c>
      <c r="C812">
        <v>14</v>
      </c>
      <c r="D812" t="s">
        <v>16</v>
      </c>
      <c r="E812" s="1">
        <v>45701</v>
      </c>
      <c r="F812" s="1">
        <v>45704</v>
      </c>
      <c r="G812" t="s">
        <v>26</v>
      </c>
      <c r="H812" t="s">
        <v>73</v>
      </c>
      <c r="I812">
        <v>8447</v>
      </c>
      <c r="J812" t="s">
        <v>34</v>
      </c>
      <c r="K812" t="s">
        <v>40</v>
      </c>
      <c r="L812" t="s">
        <v>28</v>
      </c>
      <c r="M812" t="s">
        <v>29</v>
      </c>
      <c r="N812">
        <v>3</v>
      </c>
      <c r="O812" t="str">
        <f t="shared" si="12"/>
        <v>Normal</v>
      </c>
    </row>
    <row r="813" spans="1:15" x14ac:dyDescent="0.3">
      <c r="A813" t="s">
        <v>1668</v>
      </c>
      <c r="B813" t="s">
        <v>1669</v>
      </c>
      <c r="C813">
        <v>10</v>
      </c>
      <c r="D813" t="s">
        <v>16</v>
      </c>
      <c r="E813" s="1">
        <v>45786</v>
      </c>
      <c r="F813" s="1">
        <v>45795</v>
      </c>
      <c r="G813" t="s">
        <v>66</v>
      </c>
      <c r="H813" t="s">
        <v>18</v>
      </c>
      <c r="I813">
        <v>2483</v>
      </c>
      <c r="J813" t="s">
        <v>34</v>
      </c>
      <c r="K813" t="s">
        <v>44</v>
      </c>
      <c r="L813" t="s">
        <v>59</v>
      </c>
      <c r="M813" t="s">
        <v>50</v>
      </c>
      <c r="N813">
        <v>9</v>
      </c>
      <c r="O813" t="str">
        <f t="shared" si="12"/>
        <v>Extended</v>
      </c>
    </row>
    <row r="814" spans="1:15" x14ac:dyDescent="0.3">
      <c r="A814" t="s">
        <v>1670</v>
      </c>
      <c r="B814" t="s">
        <v>1671</v>
      </c>
      <c r="C814">
        <v>28</v>
      </c>
      <c r="D814" t="s">
        <v>16</v>
      </c>
      <c r="E814" s="1">
        <v>45767</v>
      </c>
      <c r="F814" s="1">
        <v>45779</v>
      </c>
      <c r="G814" t="s">
        <v>32</v>
      </c>
      <c r="H814" t="s">
        <v>63</v>
      </c>
      <c r="I814">
        <v>9729</v>
      </c>
      <c r="J814" t="s">
        <v>19</v>
      </c>
      <c r="K814" t="s">
        <v>44</v>
      </c>
      <c r="L814" t="s">
        <v>59</v>
      </c>
      <c r="M814" t="s">
        <v>22</v>
      </c>
      <c r="N814">
        <v>12</v>
      </c>
      <c r="O814" t="str">
        <f t="shared" si="12"/>
        <v>Extended</v>
      </c>
    </row>
    <row r="815" spans="1:15" x14ac:dyDescent="0.3">
      <c r="A815" t="s">
        <v>1672</v>
      </c>
      <c r="B815" t="s">
        <v>1673</v>
      </c>
      <c r="C815">
        <v>67</v>
      </c>
      <c r="D815" t="s">
        <v>25</v>
      </c>
      <c r="E815" s="1">
        <v>45529</v>
      </c>
      <c r="F815" s="1">
        <v>45533</v>
      </c>
      <c r="G815" t="s">
        <v>43</v>
      </c>
      <c r="H815" t="s">
        <v>27</v>
      </c>
      <c r="I815">
        <v>9078</v>
      </c>
      <c r="J815" t="s">
        <v>34</v>
      </c>
      <c r="K815" t="s">
        <v>44</v>
      </c>
      <c r="L815" t="s">
        <v>55</v>
      </c>
      <c r="M815" t="s">
        <v>22</v>
      </c>
      <c r="N815">
        <v>4</v>
      </c>
      <c r="O815" t="str">
        <f t="shared" si="12"/>
        <v>Extended</v>
      </c>
    </row>
    <row r="816" spans="1:15" x14ac:dyDescent="0.3">
      <c r="A816" t="s">
        <v>1674</v>
      </c>
      <c r="B816" t="s">
        <v>1675</v>
      </c>
      <c r="C816">
        <v>14</v>
      </c>
      <c r="D816" t="s">
        <v>25</v>
      </c>
      <c r="E816" s="1">
        <v>45626</v>
      </c>
      <c r="F816" s="1">
        <v>45636</v>
      </c>
      <c r="G816" t="s">
        <v>62</v>
      </c>
      <c r="H816" t="s">
        <v>18</v>
      </c>
      <c r="I816">
        <v>9860</v>
      </c>
      <c r="J816" t="s">
        <v>34</v>
      </c>
      <c r="K816" t="s">
        <v>40</v>
      </c>
      <c r="L816" t="s">
        <v>21</v>
      </c>
      <c r="M816" t="s">
        <v>50</v>
      </c>
      <c r="N816">
        <v>10</v>
      </c>
      <c r="O816" t="str">
        <f t="shared" si="12"/>
        <v>Extended</v>
      </c>
    </row>
    <row r="817" spans="1:15" x14ac:dyDescent="0.3">
      <c r="A817" t="s">
        <v>1676</v>
      </c>
      <c r="B817" t="s">
        <v>1677</v>
      </c>
      <c r="C817">
        <v>58</v>
      </c>
      <c r="D817" t="s">
        <v>16</v>
      </c>
      <c r="E817" s="1">
        <v>45745</v>
      </c>
      <c r="F817" s="1">
        <v>45748</v>
      </c>
      <c r="G817" t="s">
        <v>43</v>
      </c>
      <c r="H817" t="s">
        <v>53</v>
      </c>
      <c r="I817">
        <v>3036</v>
      </c>
      <c r="J817" t="s">
        <v>19</v>
      </c>
      <c r="K817" t="s">
        <v>49</v>
      </c>
      <c r="L817" t="s">
        <v>28</v>
      </c>
      <c r="M817" t="s">
        <v>29</v>
      </c>
      <c r="N817">
        <v>3</v>
      </c>
      <c r="O817" t="str">
        <f t="shared" si="12"/>
        <v>Normal</v>
      </c>
    </row>
    <row r="818" spans="1:15" x14ac:dyDescent="0.3">
      <c r="A818" t="s">
        <v>1678</v>
      </c>
      <c r="B818" t="s">
        <v>1679</v>
      </c>
      <c r="C818">
        <v>31</v>
      </c>
      <c r="D818" t="s">
        <v>16</v>
      </c>
      <c r="E818" s="1">
        <v>45747</v>
      </c>
      <c r="F818" s="1">
        <v>45760</v>
      </c>
      <c r="G818" t="s">
        <v>32</v>
      </c>
      <c r="H818" t="s">
        <v>89</v>
      </c>
      <c r="I818">
        <v>4348</v>
      </c>
      <c r="J818" t="s">
        <v>34</v>
      </c>
      <c r="K818" t="s">
        <v>133</v>
      </c>
      <c r="L818" t="s">
        <v>28</v>
      </c>
      <c r="M818" t="s">
        <v>22</v>
      </c>
      <c r="N818">
        <v>13</v>
      </c>
      <c r="O818" t="str">
        <f t="shared" si="12"/>
        <v>Extended</v>
      </c>
    </row>
    <row r="819" spans="1:15" x14ac:dyDescent="0.3">
      <c r="A819" t="s">
        <v>1680</v>
      </c>
      <c r="B819" t="s">
        <v>1681</v>
      </c>
      <c r="C819">
        <v>43</v>
      </c>
      <c r="D819" t="s">
        <v>25</v>
      </c>
      <c r="E819" s="1">
        <v>45767</v>
      </c>
      <c r="F819" s="1">
        <v>45780</v>
      </c>
      <c r="G819" t="s">
        <v>26</v>
      </c>
      <c r="H819" t="s">
        <v>48</v>
      </c>
      <c r="I819">
        <v>3873</v>
      </c>
      <c r="J819" t="s">
        <v>34</v>
      </c>
      <c r="K819" t="s">
        <v>40</v>
      </c>
      <c r="L819" t="s">
        <v>55</v>
      </c>
      <c r="M819" t="s">
        <v>22</v>
      </c>
      <c r="N819">
        <v>13</v>
      </c>
      <c r="O819" t="str">
        <f t="shared" si="12"/>
        <v>Extended</v>
      </c>
    </row>
    <row r="820" spans="1:15" x14ac:dyDescent="0.3">
      <c r="A820" t="s">
        <v>1682</v>
      </c>
      <c r="B820" t="s">
        <v>1683</v>
      </c>
      <c r="C820">
        <v>13</v>
      </c>
      <c r="D820" t="s">
        <v>16</v>
      </c>
      <c r="E820" s="1">
        <v>45735</v>
      </c>
      <c r="F820" s="1">
        <v>45743</v>
      </c>
      <c r="G820" t="s">
        <v>43</v>
      </c>
      <c r="H820" t="s">
        <v>18</v>
      </c>
      <c r="I820">
        <v>6839</v>
      </c>
      <c r="J820" t="s">
        <v>19</v>
      </c>
      <c r="K820" t="s">
        <v>40</v>
      </c>
      <c r="L820" t="s">
        <v>36</v>
      </c>
      <c r="M820" t="s">
        <v>50</v>
      </c>
      <c r="N820">
        <v>8</v>
      </c>
      <c r="O820" t="str">
        <f t="shared" si="12"/>
        <v>Extended</v>
      </c>
    </row>
    <row r="821" spans="1:15" x14ac:dyDescent="0.3">
      <c r="A821" t="s">
        <v>1684</v>
      </c>
      <c r="B821" t="s">
        <v>1685</v>
      </c>
      <c r="C821">
        <v>52</v>
      </c>
      <c r="D821" t="s">
        <v>16</v>
      </c>
      <c r="E821" s="1">
        <v>45687</v>
      </c>
      <c r="F821" s="1">
        <v>45688</v>
      </c>
      <c r="G821" t="s">
        <v>43</v>
      </c>
      <c r="H821" t="s">
        <v>63</v>
      </c>
      <c r="I821">
        <v>8904</v>
      </c>
      <c r="J821" t="s">
        <v>34</v>
      </c>
      <c r="K821" t="s">
        <v>54</v>
      </c>
      <c r="L821" t="s">
        <v>78</v>
      </c>
      <c r="M821" t="s">
        <v>50</v>
      </c>
      <c r="N821">
        <v>1</v>
      </c>
      <c r="O821" t="str">
        <f t="shared" si="12"/>
        <v>Normal</v>
      </c>
    </row>
    <row r="822" spans="1:15" x14ac:dyDescent="0.3">
      <c r="A822" t="s">
        <v>1686</v>
      </c>
      <c r="B822" t="s">
        <v>1687</v>
      </c>
      <c r="C822">
        <v>26</v>
      </c>
      <c r="D822" t="s">
        <v>25</v>
      </c>
      <c r="E822" s="1">
        <v>45664</v>
      </c>
      <c r="F822" s="1">
        <v>45673</v>
      </c>
      <c r="G822" t="s">
        <v>94</v>
      </c>
      <c r="H822" t="s">
        <v>27</v>
      </c>
      <c r="I822">
        <v>1284</v>
      </c>
      <c r="J822" t="s">
        <v>19</v>
      </c>
      <c r="K822" t="s">
        <v>35</v>
      </c>
      <c r="L822" t="s">
        <v>55</v>
      </c>
      <c r="M822" t="s">
        <v>29</v>
      </c>
      <c r="N822">
        <v>9</v>
      </c>
      <c r="O822" t="str">
        <f t="shared" si="12"/>
        <v>Extended</v>
      </c>
    </row>
    <row r="823" spans="1:15" x14ac:dyDescent="0.3">
      <c r="A823" t="s">
        <v>1688</v>
      </c>
      <c r="B823" t="s">
        <v>1689</v>
      </c>
      <c r="C823">
        <v>18</v>
      </c>
      <c r="D823" t="s">
        <v>25</v>
      </c>
      <c r="E823" s="1">
        <v>45786</v>
      </c>
      <c r="F823" s="1">
        <v>45793</v>
      </c>
      <c r="G823" t="s">
        <v>66</v>
      </c>
      <c r="H823" t="s">
        <v>58</v>
      </c>
      <c r="I823">
        <v>9325</v>
      </c>
      <c r="J823" t="s">
        <v>34</v>
      </c>
      <c r="K823" t="s">
        <v>49</v>
      </c>
      <c r="L823" t="s">
        <v>59</v>
      </c>
      <c r="M823" t="s">
        <v>22</v>
      </c>
      <c r="N823">
        <v>7</v>
      </c>
      <c r="O823" t="str">
        <f t="shared" si="12"/>
        <v>Extended</v>
      </c>
    </row>
    <row r="824" spans="1:15" x14ac:dyDescent="0.3">
      <c r="A824" t="s">
        <v>1690</v>
      </c>
      <c r="B824" t="s">
        <v>1691</v>
      </c>
      <c r="C824">
        <v>46</v>
      </c>
      <c r="D824" t="s">
        <v>16</v>
      </c>
      <c r="E824" s="1">
        <v>45797</v>
      </c>
      <c r="F824" s="1">
        <v>45805</v>
      </c>
      <c r="G824" t="s">
        <v>32</v>
      </c>
      <c r="H824" t="s">
        <v>58</v>
      </c>
      <c r="I824">
        <v>4441</v>
      </c>
      <c r="J824" t="s">
        <v>19</v>
      </c>
      <c r="K824" t="s">
        <v>44</v>
      </c>
      <c r="L824" t="s">
        <v>28</v>
      </c>
      <c r="M824" t="s">
        <v>50</v>
      </c>
      <c r="N824">
        <v>8</v>
      </c>
      <c r="O824" t="str">
        <f t="shared" si="12"/>
        <v>Extended</v>
      </c>
    </row>
    <row r="825" spans="1:15" x14ac:dyDescent="0.3">
      <c r="A825" t="s">
        <v>1692</v>
      </c>
      <c r="B825" t="s">
        <v>1693</v>
      </c>
      <c r="C825">
        <v>80</v>
      </c>
      <c r="D825" t="s">
        <v>25</v>
      </c>
      <c r="E825" s="1">
        <v>45559</v>
      </c>
      <c r="F825" s="1">
        <v>45571</v>
      </c>
      <c r="G825" t="s">
        <v>26</v>
      </c>
      <c r="H825" t="s">
        <v>39</v>
      </c>
      <c r="I825">
        <v>2411</v>
      </c>
      <c r="J825" t="s">
        <v>34</v>
      </c>
      <c r="K825" t="s">
        <v>49</v>
      </c>
      <c r="L825" t="s">
        <v>28</v>
      </c>
      <c r="M825" t="s">
        <v>29</v>
      </c>
      <c r="N825">
        <v>12</v>
      </c>
      <c r="O825" t="str">
        <f t="shared" si="12"/>
        <v>Extended</v>
      </c>
    </row>
    <row r="826" spans="1:15" x14ac:dyDescent="0.3">
      <c r="A826" t="s">
        <v>1694</v>
      </c>
      <c r="B826" t="s">
        <v>1695</v>
      </c>
      <c r="C826">
        <v>66</v>
      </c>
      <c r="D826" t="s">
        <v>16</v>
      </c>
      <c r="E826" s="1">
        <v>45615</v>
      </c>
      <c r="F826" s="1">
        <v>45623</v>
      </c>
      <c r="G826" t="s">
        <v>17</v>
      </c>
      <c r="H826" t="s">
        <v>58</v>
      </c>
      <c r="I826">
        <v>5407</v>
      </c>
      <c r="J826" t="s">
        <v>19</v>
      </c>
      <c r="K826" t="s">
        <v>54</v>
      </c>
      <c r="L826" t="s">
        <v>45</v>
      </c>
      <c r="M826" t="s">
        <v>22</v>
      </c>
      <c r="N826">
        <v>8</v>
      </c>
      <c r="O826" t="str">
        <f t="shared" si="12"/>
        <v>Extended</v>
      </c>
    </row>
    <row r="827" spans="1:15" x14ac:dyDescent="0.3">
      <c r="A827" t="s">
        <v>1696</v>
      </c>
      <c r="B827" t="s">
        <v>1697</v>
      </c>
      <c r="C827">
        <v>18</v>
      </c>
      <c r="D827" t="s">
        <v>16</v>
      </c>
      <c r="E827" s="1">
        <v>45633</v>
      </c>
      <c r="F827" s="1">
        <v>45639</v>
      </c>
      <c r="G827" t="s">
        <v>94</v>
      </c>
      <c r="H827" t="s">
        <v>18</v>
      </c>
      <c r="I827">
        <v>2468</v>
      </c>
      <c r="J827" t="s">
        <v>34</v>
      </c>
      <c r="K827" t="s">
        <v>44</v>
      </c>
      <c r="L827" t="s">
        <v>45</v>
      </c>
      <c r="M827" t="s">
        <v>29</v>
      </c>
      <c r="N827">
        <v>6</v>
      </c>
      <c r="O827" t="str">
        <f t="shared" si="12"/>
        <v>Extended</v>
      </c>
    </row>
    <row r="828" spans="1:15" x14ac:dyDescent="0.3">
      <c r="A828" t="s">
        <v>1698</v>
      </c>
      <c r="B828" t="s">
        <v>1699</v>
      </c>
      <c r="C828">
        <v>65</v>
      </c>
      <c r="D828" t="s">
        <v>16</v>
      </c>
      <c r="E828" s="1">
        <v>45793</v>
      </c>
      <c r="F828" s="1">
        <v>45797</v>
      </c>
      <c r="G828" t="s">
        <v>62</v>
      </c>
      <c r="H828" t="s">
        <v>27</v>
      </c>
      <c r="I828">
        <v>4063</v>
      </c>
      <c r="J828" t="s">
        <v>34</v>
      </c>
      <c r="K828" t="s">
        <v>35</v>
      </c>
      <c r="L828" t="s">
        <v>36</v>
      </c>
      <c r="M828" t="s">
        <v>29</v>
      </c>
      <c r="N828">
        <v>4</v>
      </c>
      <c r="O828" t="str">
        <f t="shared" si="12"/>
        <v>Extended</v>
      </c>
    </row>
    <row r="829" spans="1:15" x14ac:dyDescent="0.3">
      <c r="A829" t="s">
        <v>1700</v>
      </c>
      <c r="B829" t="s">
        <v>1701</v>
      </c>
      <c r="C829">
        <v>84</v>
      </c>
      <c r="D829" t="s">
        <v>16</v>
      </c>
      <c r="E829" s="1">
        <v>45480</v>
      </c>
      <c r="F829" s="1">
        <v>45493</v>
      </c>
      <c r="G829" t="s">
        <v>17</v>
      </c>
      <c r="H829" t="s">
        <v>27</v>
      </c>
      <c r="I829">
        <v>9915</v>
      </c>
      <c r="J829" t="s">
        <v>19</v>
      </c>
      <c r="K829" t="s">
        <v>133</v>
      </c>
      <c r="L829" t="s">
        <v>45</v>
      </c>
      <c r="M829" t="s">
        <v>22</v>
      </c>
      <c r="N829">
        <v>13</v>
      </c>
      <c r="O829" t="str">
        <f t="shared" si="12"/>
        <v>Extended</v>
      </c>
    </row>
    <row r="830" spans="1:15" x14ac:dyDescent="0.3">
      <c r="A830" t="s">
        <v>1702</v>
      </c>
      <c r="B830" t="s">
        <v>1703</v>
      </c>
      <c r="C830">
        <v>45</v>
      </c>
      <c r="D830" t="s">
        <v>16</v>
      </c>
      <c r="E830" s="1">
        <v>45746</v>
      </c>
      <c r="F830" s="1">
        <v>45750</v>
      </c>
      <c r="G830" t="s">
        <v>62</v>
      </c>
      <c r="H830" t="s">
        <v>63</v>
      </c>
      <c r="I830">
        <v>1141</v>
      </c>
      <c r="J830" t="s">
        <v>34</v>
      </c>
      <c r="K830" t="s">
        <v>54</v>
      </c>
      <c r="L830" t="s">
        <v>59</v>
      </c>
      <c r="M830" t="s">
        <v>50</v>
      </c>
      <c r="N830">
        <v>4</v>
      </c>
      <c r="O830" t="str">
        <f t="shared" si="12"/>
        <v>Extended</v>
      </c>
    </row>
    <row r="831" spans="1:15" x14ac:dyDescent="0.3">
      <c r="A831" t="s">
        <v>1704</v>
      </c>
      <c r="B831" t="s">
        <v>1705</v>
      </c>
      <c r="C831">
        <v>64</v>
      </c>
      <c r="D831" t="s">
        <v>16</v>
      </c>
      <c r="E831" s="1">
        <v>45790</v>
      </c>
      <c r="F831" s="1">
        <v>45795</v>
      </c>
      <c r="G831" t="s">
        <v>43</v>
      </c>
      <c r="H831" t="s">
        <v>89</v>
      </c>
      <c r="I831">
        <v>1442</v>
      </c>
      <c r="J831" t="s">
        <v>19</v>
      </c>
      <c r="K831" t="s">
        <v>133</v>
      </c>
      <c r="L831" t="s">
        <v>36</v>
      </c>
      <c r="M831" t="s">
        <v>29</v>
      </c>
      <c r="N831">
        <v>5</v>
      </c>
      <c r="O831" t="str">
        <f t="shared" si="12"/>
        <v>Extended</v>
      </c>
    </row>
    <row r="832" spans="1:15" x14ac:dyDescent="0.3">
      <c r="A832" t="s">
        <v>1706</v>
      </c>
      <c r="B832" t="s">
        <v>1707</v>
      </c>
      <c r="C832">
        <v>42</v>
      </c>
      <c r="D832" t="s">
        <v>25</v>
      </c>
      <c r="E832" s="1">
        <v>45615</v>
      </c>
      <c r="F832" s="1">
        <v>45628</v>
      </c>
      <c r="G832" t="s">
        <v>32</v>
      </c>
      <c r="H832" t="s">
        <v>33</v>
      </c>
      <c r="I832">
        <v>3089</v>
      </c>
      <c r="J832" t="s">
        <v>34</v>
      </c>
      <c r="K832" t="s">
        <v>133</v>
      </c>
      <c r="L832" t="s">
        <v>55</v>
      </c>
      <c r="M832" t="s">
        <v>29</v>
      </c>
      <c r="N832">
        <v>13</v>
      </c>
      <c r="O832" t="str">
        <f t="shared" si="12"/>
        <v>Extended</v>
      </c>
    </row>
    <row r="833" spans="1:15" x14ac:dyDescent="0.3">
      <c r="A833" t="s">
        <v>1708</v>
      </c>
      <c r="B833" t="s">
        <v>1709</v>
      </c>
      <c r="C833">
        <v>31</v>
      </c>
      <c r="D833" t="s">
        <v>16</v>
      </c>
      <c r="E833" s="1">
        <v>45731</v>
      </c>
      <c r="F833" s="1">
        <v>45741</v>
      </c>
      <c r="G833" t="s">
        <v>94</v>
      </c>
      <c r="H833" t="s">
        <v>18</v>
      </c>
      <c r="I833">
        <v>6173</v>
      </c>
      <c r="J833" t="s">
        <v>19</v>
      </c>
      <c r="K833" t="s">
        <v>44</v>
      </c>
      <c r="L833" t="s">
        <v>45</v>
      </c>
      <c r="M833" t="s">
        <v>50</v>
      </c>
      <c r="N833">
        <v>10</v>
      </c>
      <c r="O833" t="str">
        <f t="shared" si="12"/>
        <v>Extended</v>
      </c>
    </row>
    <row r="834" spans="1:15" x14ac:dyDescent="0.3">
      <c r="A834" t="s">
        <v>1710</v>
      </c>
      <c r="B834" t="s">
        <v>1711</v>
      </c>
      <c r="C834">
        <v>89</v>
      </c>
      <c r="D834" t="s">
        <v>16</v>
      </c>
      <c r="E834" s="1">
        <v>45571</v>
      </c>
      <c r="F834" s="1">
        <v>45578</v>
      </c>
      <c r="G834" t="s">
        <v>26</v>
      </c>
      <c r="H834" t="s">
        <v>27</v>
      </c>
      <c r="I834">
        <v>3781</v>
      </c>
      <c r="J834" t="s">
        <v>34</v>
      </c>
      <c r="K834" t="s">
        <v>133</v>
      </c>
      <c r="L834" t="s">
        <v>36</v>
      </c>
      <c r="M834" t="s">
        <v>29</v>
      </c>
      <c r="N834">
        <v>7</v>
      </c>
      <c r="O834" t="str">
        <f t="shared" si="12"/>
        <v>Extended</v>
      </c>
    </row>
    <row r="835" spans="1:15" x14ac:dyDescent="0.3">
      <c r="A835" t="s">
        <v>1712</v>
      </c>
      <c r="B835" t="s">
        <v>1713</v>
      </c>
      <c r="C835">
        <v>51</v>
      </c>
      <c r="D835" t="s">
        <v>25</v>
      </c>
      <c r="E835" s="1">
        <v>45588</v>
      </c>
      <c r="F835" s="1">
        <v>45598</v>
      </c>
      <c r="G835" t="s">
        <v>43</v>
      </c>
      <c r="H835" t="s">
        <v>27</v>
      </c>
      <c r="I835">
        <v>6889</v>
      </c>
      <c r="J835" t="s">
        <v>34</v>
      </c>
      <c r="K835" t="s">
        <v>133</v>
      </c>
      <c r="L835" t="s">
        <v>59</v>
      </c>
      <c r="M835" t="s">
        <v>29</v>
      </c>
      <c r="N835">
        <v>10</v>
      </c>
      <c r="O835" t="str">
        <f t="shared" ref="O835:O898" si="13">IF(N835&gt;3,"Extended","Normal")</f>
        <v>Extended</v>
      </c>
    </row>
    <row r="836" spans="1:15" x14ac:dyDescent="0.3">
      <c r="A836" t="s">
        <v>1714</v>
      </c>
      <c r="B836" t="s">
        <v>1715</v>
      </c>
      <c r="C836">
        <v>86</v>
      </c>
      <c r="D836" t="s">
        <v>16</v>
      </c>
      <c r="E836" s="1">
        <v>45507</v>
      </c>
      <c r="F836" s="1">
        <v>45519</v>
      </c>
      <c r="G836" t="s">
        <v>17</v>
      </c>
      <c r="H836" t="s">
        <v>18</v>
      </c>
      <c r="I836">
        <v>6651</v>
      </c>
      <c r="J836" t="s">
        <v>34</v>
      </c>
      <c r="K836" t="s">
        <v>44</v>
      </c>
      <c r="L836" t="s">
        <v>45</v>
      </c>
      <c r="M836" t="s">
        <v>29</v>
      </c>
      <c r="N836">
        <v>12</v>
      </c>
      <c r="O836" t="str">
        <f t="shared" si="13"/>
        <v>Extended</v>
      </c>
    </row>
    <row r="837" spans="1:15" x14ac:dyDescent="0.3">
      <c r="A837" t="s">
        <v>1716</v>
      </c>
      <c r="B837" t="s">
        <v>1717</v>
      </c>
      <c r="C837">
        <v>27</v>
      </c>
      <c r="D837" t="s">
        <v>25</v>
      </c>
      <c r="E837" s="1">
        <v>45476</v>
      </c>
      <c r="F837" s="1">
        <v>45480</v>
      </c>
      <c r="G837" t="s">
        <v>43</v>
      </c>
      <c r="H837" t="s">
        <v>33</v>
      </c>
      <c r="I837">
        <v>9325</v>
      </c>
      <c r="J837" t="s">
        <v>19</v>
      </c>
      <c r="K837" t="s">
        <v>20</v>
      </c>
      <c r="L837" t="s">
        <v>45</v>
      </c>
      <c r="M837" t="s">
        <v>50</v>
      </c>
      <c r="N837">
        <v>4</v>
      </c>
      <c r="O837" t="str">
        <f t="shared" si="13"/>
        <v>Extended</v>
      </c>
    </row>
    <row r="838" spans="1:15" x14ac:dyDescent="0.3">
      <c r="A838" t="s">
        <v>1718</v>
      </c>
      <c r="B838" t="s">
        <v>1719</v>
      </c>
      <c r="C838">
        <v>22</v>
      </c>
      <c r="D838" t="s">
        <v>16</v>
      </c>
      <c r="E838" s="1">
        <v>45686</v>
      </c>
      <c r="F838" s="1">
        <v>45698</v>
      </c>
      <c r="G838" t="s">
        <v>43</v>
      </c>
      <c r="H838" t="s">
        <v>27</v>
      </c>
      <c r="I838">
        <v>5233</v>
      </c>
      <c r="J838" t="s">
        <v>34</v>
      </c>
      <c r="K838" t="s">
        <v>133</v>
      </c>
      <c r="L838" t="s">
        <v>45</v>
      </c>
      <c r="M838" t="s">
        <v>50</v>
      </c>
      <c r="N838">
        <v>12</v>
      </c>
      <c r="O838" t="str">
        <f t="shared" si="13"/>
        <v>Extended</v>
      </c>
    </row>
    <row r="839" spans="1:15" x14ac:dyDescent="0.3">
      <c r="A839" t="s">
        <v>1720</v>
      </c>
      <c r="B839" t="s">
        <v>1721</v>
      </c>
      <c r="C839">
        <v>40</v>
      </c>
      <c r="D839" t="s">
        <v>25</v>
      </c>
      <c r="E839" s="1">
        <v>45734</v>
      </c>
      <c r="F839" s="1">
        <v>45737</v>
      </c>
      <c r="G839" t="s">
        <v>94</v>
      </c>
      <c r="H839" t="s">
        <v>48</v>
      </c>
      <c r="I839">
        <v>6057</v>
      </c>
      <c r="J839" t="s">
        <v>19</v>
      </c>
      <c r="K839" t="s">
        <v>35</v>
      </c>
      <c r="L839" t="s">
        <v>28</v>
      </c>
      <c r="M839" t="s">
        <v>22</v>
      </c>
      <c r="N839">
        <v>3</v>
      </c>
      <c r="O839" t="str">
        <f t="shared" si="13"/>
        <v>Normal</v>
      </c>
    </row>
    <row r="840" spans="1:15" x14ac:dyDescent="0.3">
      <c r="A840" t="s">
        <v>1722</v>
      </c>
      <c r="B840" t="s">
        <v>1723</v>
      </c>
      <c r="C840">
        <v>60</v>
      </c>
      <c r="D840" t="s">
        <v>25</v>
      </c>
      <c r="E840" s="1">
        <v>45730</v>
      </c>
      <c r="F840" s="1">
        <v>45732</v>
      </c>
      <c r="G840" t="s">
        <v>66</v>
      </c>
      <c r="H840" t="s">
        <v>53</v>
      </c>
      <c r="I840">
        <v>4613</v>
      </c>
      <c r="J840" t="s">
        <v>34</v>
      </c>
      <c r="K840" t="s">
        <v>54</v>
      </c>
      <c r="L840" t="s">
        <v>28</v>
      </c>
      <c r="M840" t="s">
        <v>29</v>
      </c>
      <c r="N840">
        <v>2</v>
      </c>
      <c r="O840" t="str">
        <f t="shared" si="13"/>
        <v>Normal</v>
      </c>
    </row>
    <row r="841" spans="1:15" x14ac:dyDescent="0.3">
      <c r="A841" t="s">
        <v>1724</v>
      </c>
      <c r="B841" t="s">
        <v>1725</v>
      </c>
      <c r="C841">
        <v>75</v>
      </c>
      <c r="D841" t="s">
        <v>25</v>
      </c>
      <c r="E841" s="1">
        <v>45621</v>
      </c>
      <c r="F841" s="1">
        <v>45631</v>
      </c>
      <c r="G841" t="s">
        <v>17</v>
      </c>
      <c r="H841" t="s">
        <v>73</v>
      </c>
      <c r="I841">
        <v>8538</v>
      </c>
      <c r="J841" t="s">
        <v>34</v>
      </c>
      <c r="K841" t="s">
        <v>20</v>
      </c>
      <c r="L841" t="s">
        <v>28</v>
      </c>
      <c r="M841" t="s">
        <v>29</v>
      </c>
      <c r="N841">
        <v>10</v>
      </c>
      <c r="O841" t="str">
        <f t="shared" si="13"/>
        <v>Extended</v>
      </c>
    </row>
    <row r="842" spans="1:15" x14ac:dyDescent="0.3">
      <c r="A842" t="s">
        <v>1726</v>
      </c>
      <c r="B842" t="s">
        <v>1727</v>
      </c>
      <c r="C842">
        <v>82</v>
      </c>
      <c r="D842" t="s">
        <v>16</v>
      </c>
      <c r="E842" s="1">
        <v>45771</v>
      </c>
      <c r="F842" s="1">
        <v>45775</v>
      </c>
      <c r="G842" t="s">
        <v>66</v>
      </c>
      <c r="H842" t="s">
        <v>89</v>
      </c>
      <c r="I842">
        <v>3970</v>
      </c>
      <c r="J842" t="s">
        <v>19</v>
      </c>
      <c r="K842" t="s">
        <v>20</v>
      </c>
      <c r="L842" t="s">
        <v>36</v>
      </c>
      <c r="M842" t="s">
        <v>50</v>
      </c>
      <c r="N842">
        <v>4</v>
      </c>
      <c r="O842" t="str">
        <f t="shared" si="13"/>
        <v>Extended</v>
      </c>
    </row>
    <row r="843" spans="1:15" x14ac:dyDescent="0.3">
      <c r="A843" t="s">
        <v>1728</v>
      </c>
      <c r="B843" t="s">
        <v>1729</v>
      </c>
      <c r="C843">
        <v>86</v>
      </c>
      <c r="D843" t="s">
        <v>16</v>
      </c>
      <c r="E843" s="1">
        <v>45496</v>
      </c>
      <c r="F843" s="1">
        <v>45506</v>
      </c>
      <c r="G843" t="s">
        <v>26</v>
      </c>
      <c r="H843" t="s">
        <v>63</v>
      </c>
      <c r="I843">
        <v>3553</v>
      </c>
      <c r="J843" t="s">
        <v>34</v>
      </c>
      <c r="K843" t="s">
        <v>44</v>
      </c>
      <c r="L843" t="s">
        <v>45</v>
      </c>
      <c r="M843" t="s">
        <v>22</v>
      </c>
      <c r="N843">
        <v>10</v>
      </c>
      <c r="O843" t="str">
        <f t="shared" si="13"/>
        <v>Extended</v>
      </c>
    </row>
    <row r="844" spans="1:15" x14ac:dyDescent="0.3">
      <c r="A844" t="s">
        <v>1730</v>
      </c>
      <c r="B844" t="s">
        <v>1731</v>
      </c>
      <c r="C844">
        <v>9</v>
      </c>
      <c r="D844" t="s">
        <v>25</v>
      </c>
      <c r="E844" s="1">
        <v>45482</v>
      </c>
      <c r="F844" s="1">
        <v>45490</v>
      </c>
      <c r="G844" t="s">
        <v>43</v>
      </c>
      <c r="H844" t="s">
        <v>27</v>
      </c>
      <c r="I844">
        <v>7138</v>
      </c>
      <c r="J844" t="s">
        <v>19</v>
      </c>
      <c r="K844" t="s">
        <v>35</v>
      </c>
      <c r="L844" t="s">
        <v>55</v>
      </c>
      <c r="M844" t="s">
        <v>50</v>
      </c>
      <c r="N844">
        <v>8</v>
      </c>
      <c r="O844" t="str">
        <f t="shared" si="13"/>
        <v>Extended</v>
      </c>
    </row>
    <row r="845" spans="1:15" x14ac:dyDescent="0.3">
      <c r="A845" t="s">
        <v>1732</v>
      </c>
      <c r="B845" t="s">
        <v>1733</v>
      </c>
      <c r="C845">
        <v>54</v>
      </c>
      <c r="D845" t="s">
        <v>16</v>
      </c>
      <c r="E845" s="1">
        <v>45610</v>
      </c>
      <c r="F845" s="1">
        <v>45612</v>
      </c>
      <c r="G845" t="s">
        <v>94</v>
      </c>
      <c r="H845" t="s">
        <v>39</v>
      </c>
      <c r="I845">
        <v>8678</v>
      </c>
      <c r="J845" t="s">
        <v>34</v>
      </c>
      <c r="K845" t="s">
        <v>49</v>
      </c>
      <c r="L845" t="s">
        <v>55</v>
      </c>
      <c r="M845" t="s">
        <v>22</v>
      </c>
      <c r="N845">
        <v>2</v>
      </c>
      <c r="O845" t="str">
        <f t="shared" si="13"/>
        <v>Normal</v>
      </c>
    </row>
    <row r="846" spans="1:15" x14ac:dyDescent="0.3">
      <c r="A846" t="s">
        <v>1734</v>
      </c>
      <c r="B846" t="s">
        <v>1735</v>
      </c>
      <c r="C846">
        <v>86</v>
      </c>
      <c r="D846" t="s">
        <v>16</v>
      </c>
      <c r="E846" s="1">
        <v>45497</v>
      </c>
      <c r="F846" s="1">
        <v>45499</v>
      </c>
      <c r="G846" t="s">
        <v>32</v>
      </c>
      <c r="H846" t="s">
        <v>27</v>
      </c>
      <c r="I846">
        <v>2239</v>
      </c>
      <c r="J846" t="s">
        <v>19</v>
      </c>
      <c r="K846" t="s">
        <v>133</v>
      </c>
      <c r="L846" t="s">
        <v>45</v>
      </c>
      <c r="M846" t="s">
        <v>29</v>
      </c>
      <c r="N846">
        <v>2</v>
      </c>
      <c r="O846" t="str">
        <f t="shared" si="13"/>
        <v>Normal</v>
      </c>
    </row>
    <row r="847" spans="1:15" x14ac:dyDescent="0.3">
      <c r="A847" t="s">
        <v>1736</v>
      </c>
      <c r="B847" t="s">
        <v>1737</v>
      </c>
      <c r="C847">
        <v>86</v>
      </c>
      <c r="D847" t="s">
        <v>16</v>
      </c>
      <c r="E847" s="1">
        <v>45642</v>
      </c>
      <c r="F847" s="1">
        <v>45655</v>
      </c>
      <c r="G847" t="s">
        <v>66</v>
      </c>
      <c r="H847" t="s">
        <v>33</v>
      </c>
      <c r="I847">
        <v>2803</v>
      </c>
      <c r="J847" t="s">
        <v>19</v>
      </c>
      <c r="K847" t="s">
        <v>44</v>
      </c>
      <c r="L847" t="s">
        <v>21</v>
      </c>
      <c r="M847" t="s">
        <v>50</v>
      </c>
      <c r="N847">
        <v>13</v>
      </c>
      <c r="O847" t="str">
        <f t="shared" si="13"/>
        <v>Extended</v>
      </c>
    </row>
    <row r="848" spans="1:15" x14ac:dyDescent="0.3">
      <c r="A848" t="s">
        <v>1738</v>
      </c>
      <c r="B848" t="s">
        <v>1739</v>
      </c>
      <c r="C848">
        <v>16</v>
      </c>
      <c r="D848" t="s">
        <v>25</v>
      </c>
      <c r="E848" s="1">
        <v>45622</v>
      </c>
      <c r="F848" s="1">
        <v>45626</v>
      </c>
      <c r="G848" t="s">
        <v>66</v>
      </c>
      <c r="H848" t="s">
        <v>63</v>
      </c>
      <c r="I848">
        <v>5395</v>
      </c>
      <c r="J848" t="s">
        <v>19</v>
      </c>
      <c r="K848" t="s">
        <v>133</v>
      </c>
      <c r="L848" t="s">
        <v>59</v>
      </c>
      <c r="M848" t="s">
        <v>50</v>
      </c>
      <c r="N848">
        <v>4</v>
      </c>
      <c r="O848" t="str">
        <f t="shared" si="13"/>
        <v>Extended</v>
      </c>
    </row>
    <row r="849" spans="1:15" x14ac:dyDescent="0.3">
      <c r="A849" t="s">
        <v>1740</v>
      </c>
      <c r="B849" t="s">
        <v>1741</v>
      </c>
      <c r="C849">
        <v>29</v>
      </c>
      <c r="D849" t="s">
        <v>25</v>
      </c>
      <c r="E849" s="1">
        <v>45552</v>
      </c>
      <c r="F849" s="1">
        <v>45561</v>
      </c>
      <c r="G849" t="s">
        <v>94</v>
      </c>
      <c r="H849" t="s">
        <v>18</v>
      </c>
      <c r="I849">
        <v>2676</v>
      </c>
      <c r="J849" t="s">
        <v>34</v>
      </c>
      <c r="K849" t="s">
        <v>35</v>
      </c>
      <c r="L849" t="s">
        <v>59</v>
      </c>
      <c r="M849" t="s">
        <v>22</v>
      </c>
      <c r="N849">
        <v>9</v>
      </c>
      <c r="O849" t="str">
        <f t="shared" si="13"/>
        <v>Extended</v>
      </c>
    </row>
    <row r="850" spans="1:15" x14ac:dyDescent="0.3">
      <c r="A850" t="s">
        <v>1742</v>
      </c>
      <c r="B850" t="s">
        <v>1743</v>
      </c>
      <c r="C850">
        <v>54</v>
      </c>
      <c r="D850" t="s">
        <v>16</v>
      </c>
      <c r="E850" s="1">
        <v>45792</v>
      </c>
      <c r="F850" s="1">
        <v>45804</v>
      </c>
      <c r="G850" t="s">
        <v>62</v>
      </c>
      <c r="H850" t="s">
        <v>18</v>
      </c>
      <c r="I850">
        <v>4120</v>
      </c>
      <c r="J850" t="s">
        <v>34</v>
      </c>
      <c r="K850" t="s">
        <v>40</v>
      </c>
      <c r="L850" t="s">
        <v>28</v>
      </c>
      <c r="M850" t="s">
        <v>22</v>
      </c>
      <c r="N850">
        <v>12</v>
      </c>
      <c r="O850" t="str">
        <f t="shared" si="13"/>
        <v>Extended</v>
      </c>
    </row>
    <row r="851" spans="1:15" x14ac:dyDescent="0.3">
      <c r="A851" t="s">
        <v>1744</v>
      </c>
      <c r="B851" t="s">
        <v>197</v>
      </c>
      <c r="C851">
        <v>5</v>
      </c>
      <c r="D851" t="s">
        <v>25</v>
      </c>
      <c r="E851" s="1">
        <v>45634</v>
      </c>
      <c r="F851" s="1">
        <v>45642</v>
      </c>
      <c r="G851" t="s">
        <v>17</v>
      </c>
      <c r="H851" t="s">
        <v>58</v>
      </c>
      <c r="I851">
        <v>7641</v>
      </c>
      <c r="J851" t="s">
        <v>19</v>
      </c>
      <c r="K851" t="s">
        <v>133</v>
      </c>
      <c r="L851" t="s">
        <v>45</v>
      </c>
      <c r="M851" t="s">
        <v>22</v>
      </c>
      <c r="N851">
        <v>8</v>
      </c>
      <c r="O851" t="str">
        <f t="shared" si="13"/>
        <v>Extended</v>
      </c>
    </row>
    <row r="852" spans="1:15" x14ac:dyDescent="0.3">
      <c r="A852" t="s">
        <v>1745</v>
      </c>
      <c r="B852" t="s">
        <v>1370</v>
      </c>
      <c r="C852">
        <v>5</v>
      </c>
      <c r="D852" t="s">
        <v>16</v>
      </c>
      <c r="E852" s="1">
        <v>45532</v>
      </c>
      <c r="F852" s="1">
        <v>45541</v>
      </c>
      <c r="G852" t="s">
        <v>43</v>
      </c>
      <c r="H852" t="s">
        <v>39</v>
      </c>
      <c r="I852">
        <v>9271</v>
      </c>
      <c r="J852" t="s">
        <v>19</v>
      </c>
      <c r="K852" t="s">
        <v>40</v>
      </c>
      <c r="L852" t="s">
        <v>36</v>
      </c>
      <c r="M852" t="s">
        <v>29</v>
      </c>
      <c r="N852">
        <v>9</v>
      </c>
      <c r="O852" t="str">
        <f t="shared" si="13"/>
        <v>Extended</v>
      </c>
    </row>
    <row r="853" spans="1:15" x14ac:dyDescent="0.3">
      <c r="A853" t="s">
        <v>1746</v>
      </c>
      <c r="B853" t="s">
        <v>1747</v>
      </c>
      <c r="C853">
        <v>69</v>
      </c>
      <c r="D853" t="s">
        <v>16</v>
      </c>
      <c r="E853" s="1">
        <v>45782</v>
      </c>
      <c r="F853" s="1">
        <v>45787</v>
      </c>
      <c r="G853" t="s">
        <v>94</v>
      </c>
      <c r="H853" t="s">
        <v>58</v>
      </c>
      <c r="I853">
        <v>5277</v>
      </c>
      <c r="J853" t="s">
        <v>19</v>
      </c>
      <c r="K853" t="s">
        <v>40</v>
      </c>
      <c r="L853" t="s">
        <v>21</v>
      </c>
      <c r="M853" t="s">
        <v>29</v>
      </c>
      <c r="N853">
        <v>5</v>
      </c>
      <c r="O853" t="str">
        <f t="shared" si="13"/>
        <v>Extended</v>
      </c>
    </row>
    <row r="854" spans="1:15" x14ac:dyDescent="0.3">
      <c r="A854" t="s">
        <v>1748</v>
      </c>
      <c r="B854" t="s">
        <v>1749</v>
      </c>
      <c r="C854">
        <v>74</v>
      </c>
      <c r="D854" t="s">
        <v>16</v>
      </c>
      <c r="E854" s="1">
        <v>45558</v>
      </c>
      <c r="F854" s="1">
        <v>45559</v>
      </c>
      <c r="G854" t="s">
        <v>94</v>
      </c>
      <c r="H854" t="s">
        <v>48</v>
      </c>
      <c r="I854">
        <v>3826</v>
      </c>
      <c r="J854" t="s">
        <v>19</v>
      </c>
      <c r="K854" t="s">
        <v>20</v>
      </c>
      <c r="L854" t="s">
        <v>55</v>
      </c>
      <c r="M854" t="s">
        <v>29</v>
      </c>
      <c r="N854">
        <v>1</v>
      </c>
      <c r="O854" t="str">
        <f t="shared" si="13"/>
        <v>Normal</v>
      </c>
    </row>
    <row r="855" spans="1:15" x14ac:dyDescent="0.3">
      <c r="A855" t="s">
        <v>1750</v>
      </c>
      <c r="B855" t="s">
        <v>1751</v>
      </c>
      <c r="C855">
        <v>52</v>
      </c>
      <c r="D855" t="s">
        <v>25</v>
      </c>
      <c r="E855" s="1">
        <v>45668</v>
      </c>
      <c r="F855" s="1">
        <v>45679</v>
      </c>
      <c r="G855" t="s">
        <v>17</v>
      </c>
      <c r="H855" t="s">
        <v>48</v>
      </c>
      <c r="I855">
        <v>6083</v>
      </c>
      <c r="J855" t="s">
        <v>34</v>
      </c>
      <c r="K855" t="s">
        <v>49</v>
      </c>
      <c r="L855" t="s">
        <v>36</v>
      </c>
      <c r="M855" t="s">
        <v>50</v>
      </c>
      <c r="N855">
        <v>11</v>
      </c>
      <c r="O855" t="str">
        <f t="shared" si="13"/>
        <v>Extended</v>
      </c>
    </row>
    <row r="856" spans="1:15" x14ac:dyDescent="0.3">
      <c r="A856" t="s">
        <v>1752</v>
      </c>
      <c r="B856" t="s">
        <v>1753</v>
      </c>
      <c r="C856">
        <v>83</v>
      </c>
      <c r="D856" t="s">
        <v>25</v>
      </c>
      <c r="E856" s="1">
        <v>45671</v>
      </c>
      <c r="F856" s="1">
        <v>45683</v>
      </c>
      <c r="G856" t="s">
        <v>66</v>
      </c>
      <c r="H856" t="s">
        <v>63</v>
      </c>
      <c r="I856">
        <v>3418</v>
      </c>
      <c r="J856" t="s">
        <v>19</v>
      </c>
      <c r="K856" t="s">
        <v>44</v>
      </c>
      <c r="L856" t="s">
        <v>21</v>
      </c>
      <c r="M856" t="s">
        <v>22</v>
      </c>
      <c r="N856">
        <v>12</v>
      </c>
      <c r="O856" t="str">
        <f t="shared" si="13"/>
        <v>Extended</v>
      </c>
    </row>
    <row r="857" spans="1:15" x14ac:dyDescent="0.3">
      <c r="A857" t="s">
        <v>1754</v>
      </c>
      <c r="B857" t="s">
        <v>1755</v>
      </c>
      <c r="C857">
        <v>31</v>
      </c>
      <c r="D857" t="s">
        <v>25</v>
      </c>
      <c r="E857" s="1">
        <v>45503</v>
      </c>
      <c r="F857" s="1">
        <v>45512</v>
      </c>
      <c r="G857" t="s">
        <v>43</v>
      </c>
      <c r="H857" t="s">
        <v>48</v>
      </c>
      <c r="I857">
        <v>7215</v>
      </c>
      <c r="J857" t="s">
        <v>19</v>
      </c>
      <c r="K857" t="s">
        <v>20</v>
      </c>
      <c r="L857" t="s">
        <v>45</v>
      </c>
      <c r="M857" t="s">
        <v>29</v>
      </c>
      <c r="N857">
        <v>9</v>
      </c>
      <c r="O857" t="str">
        <f t="shared" si="13"/>
        <v>Extended</v>
      </c>
    </row>
    <row r="858" spans="1:15" x14ac:dyDescent="0.3">
      <c r="A858" t="s">
        <v>1756</v>
      </c>
      <c r="B858" t="s">
        <v>1757</v>
      </c>
      <c r="C858">
        <v>14</v>
      </c>
      <c r="D858" t="s">
        <v>16</v>
      </c>
      <c r="E858" s="1">
        <v>45576</v>
      </c>
      <c r="F858" s="1">
        <v>45588</v>
      </c>
      <c r="G858" t="s">
        <v>32</v>
      </c>
      <c r="H858" t="s">
        <v>39</v>
      </c>
      <c r="I858">
        <v>7823</v>
      </c>
      <c r="J858" t="s">
        <v>34</v>
      </c>
      <c r="K858" t="s">
        <v>49</v>
      </c>
      <c r="L858" t="s">
        <v>28</v>
      </c>
      <c r="M858" t="s">
        <v>50</v>
      </c>
      <c r="N858">
        <v>12</v>
      </c>
      <c r="O858" t="str">
        <f t="shared" si="13"/>
        <v>Extended</v>
      </c>
    </row>
    <row r="859" spans="1:15" x14ac:dyDescent="0.3">
      <c r="A859" t="s">
        <v>1758</v>
      </c>
      <c r="B859" t="s">
        <v>1759</v>
      </c>
      <c r="C859">
        <v>78</v>
      </c>
      <c r="D859" t="s">
        <v>16</v>
      </c>
      <c r="E859" s="1">
        <v>45581</v>
      </c>
      <c r="F859" s="1">
        <v>45592</v>
      </c>
      <c r="G859" t="s">
        <v>32</v>
      </c>
      <c r="H859" t="s">
        <v>89</v>
      </c>
      <c r="I859">
        <v>9481</v>
      </c>
      <c r="J859" t="s">
        <v>19</v>
      </c>
      <c r="K859" t="s">
        <v>40</v>
      </c>
      <c r="L859" t="s">
        <v>55</v>
      </c>
      <c r="M859" t="s">
        <v>29</v>
      </c>
      <c r="N859">
        <v>11</v>
      </c>
      <c r="O859" t="str">
        <f t="shared" si="13"/>
        <v>Extended</v>
      </c>
    </row>
    <row r="860" spans="1:15" x14ac:dyDescent="0.3">
      <c r="A860" t="s">
        <v>1760</v>
      </c>
      <c r="B860" t="s">
        <v>1761</v>
      </c>
      <c r="C860">
        <v>27</v>
      </c>
      <c r="D860" t="s">
        <v>16</v>
      </c>
      <c r="E860" s="1">
        <v>45690</v>
      </c>
      <c r="F860" s="1">
        <v>45692</v>
      </c>
      <c r="G860" t="s">
        <v>26</v>
      </c>
      <c r="H860" t="s">
        <v>48</v>
      </c>
      <c r="I860">
        <v>6427</v>
      </c>
      <c r="J860" t="s">
        <v>34</v>
      </c>
      <c r="K860" t="s">
        <v>44</v>
      </c>
      <c r="L860" t="s">
        <v>28</v>
      </c>
      <c r="M860" t="s">
        <v>50</v>
      </c>
      <c r="N860">
        <v>2</v>
      </c>
      <c r="O860" t="str">
        <f t="shared" si="13"/>
        <v>Normal</v>
      </c>
    </row>
    <row r="861" spans="1:15" x14ac:dyDescent="0.3">
      <c r="A861" t="s">
        <v>1762</v>
      </c>
      <c r="B861" t="s">
        <v>1763</v>
      </c>
      <c r="C861">
        <v>80</v>
      </c>
      <c r="D861" t="s">
        <v>25</v>
      </c>
      <c r="E861" s="1">
        <v>45447</v>
      </c>
      <c r="F861" s="1">
        <v>45449</v>
      </c>
      <c r="G861" t="s">
        <v>94</v>
      </c>
      <c r="H861" t="s">
        <v>33</v>
      </c>
      <c r="I861">
        <v>4373</v>
      </c>
      <c r="J861" t="s">
        <v>19</v>
      </c>
      <c r="K861" t="s">
        <v>40</v>
      </c>
      <c r="L861" t="s">
        <v>21</v>
      </c>
      <c r="M861" t="s">
        <v>29</v>
      </c>
      <c r="N861">
        <v>2</v>
      </c>
      <c r="O861" t="str">
        <f t="shared" si="13"/>
        <v>Normal</v>
      </c>
    </row>
    <row r="862" spans="1:15" x14ac:dyDescent="0.3">
      <c r="A862" t="s">
        <v>1764</v>
      </c>
      <c r="B862" t="s">
        <v>1765</v>
      </c>
      <c r="C862">
        <v>57</v>
      </c>
      <c r="D862" t="s">
        <v>25</v>
      </c>
      <c r="E862" s="1">
        <v>45697</v>
      </c>
      <c r="F862" s="1">
        <v>45708</v>
      </c>
      <c r="G862" t="s">
        <v>43</v>
      </c>
      <c r="H862" t="s">
        <v>27</v>
      </c>
      <c r="I862">
        <v>2507</v>
      </c>
      <c r="J862" t="s">
        <v>34</v>
      </c>
      <c r="K862" t="s">
        <v>40</v>
      </c>
      <c r="L862" t="s">
        <v>45</v>
      </c>
      <c r="M862" t="s">
        <v>22</v>
      </c>
      <c r="N862">
        <v>11</v>
      </c>
      <c r="O862" t="str">
        <f t="shared" si="13"/>
        <v>Extended</v>
      </c>
    </row>
    <row r="863" spans="1:15" x14ac:dyDescent="0.3">
      <c r="A863" t="s">
        <v>1766</v>
      </c>
      <c r="B863" t="s">
        <v>1767</v>
      </c>
      <c r="C863">
        <v>45</v>
      </c>
      <c r="D863" t="s">
        <v>16</v>
      </c>
      <c r="E863" s="1">
        <v>45610</v>
      </c>
      <c r="F863" s="1">
        <v>45617</v>
      </c>
      <c r="G863" t="s">
        <v>32</v>
      </c>
      <c r="H863" t="s">
        <v>18</v>
      </c>
      <c r="I863">
        <v>9591</v>
      </c>
      <c r="J863" t="s">
        <v>19</v>
      </c>
      <c r="K863" t="s">
        <v>133</v>
      </c>
      <c r="L863" t="s">
        <v>78</v>
      </c>
      <c r="M863" t="s">
        <v>22</v>
      </c>
      <c r="N863">
        <v>7</v>
      </c>
      <c r="O863" t="str">
        <f t="shared" si="13"/>
        <v>Extended</v>
      </c>
    </row>
    <row r="864" spans="1:15" x14ac:dyDescent="0.3">
      <c r="A864" t="s">
        <v>1768</v>
      </c>
      <c r="B864" t="s">
        <v>1769</v>
      </c>
      <c r="C864">
        <v>66</v>
      </c>
      <c r="D864" t="s">
        <v>16</v>
      </c>
      <c r="E864" s="1">
        <v>45585</v>
      </c>
      <c r="F864" s="1">
        <v>45590</v>
      </c>
      <c r="G864" t="s">
        <v>66</v>
      </c>
      <c r="H864" t="s">
        <v>27</v>
      </c>
      <c r="I864">
        <v>2865</v>
      </c>
      <c r="J864" t="s">
        <v>34</v>
      </c>
      <c r="K864" t="s">
        <v>54</v>
      </c>
      <c r="L864" t="s">
        <v>59</v>
      </c>
      <c r="M864" t="s">
        <v>22</v>
      </c>
      <c r="N864">
        <v>5</v>
      </c>
      <c r="O864" t="str">
        <f t="shared" si="13"/>
        <v>Extended</v>
      </c>
    </row>
    <row r="865" spans="1:15" x14ac:dyDescent="0.3">
      <c r="A865" t="s">
        <v>1770</v>
      </c>
      <c r="B865" t="s">
        <v>1771</v>
      </c>
      <c r="C865">
        <v>17</v>
      </c>
      <c r="D865" t="s">
        <v>16</v>
      </c>
      <c r="E865" s="1">
        <v>45749</v>
      </c>
      <c r="F865" s="1">
        <v>45763</v>
      </c>
      <c r="G865" t="s">
        <v>26</v>
      </c>
      <c r="H865" t="s">
        <v>73</v>
      </c>
      <c r="I865">
        <v>6712</v>
      </c>
      <c r="J865" t="s">
        <v>34</v>
      </c>
      <c r="K865" t="s">
        <v>133</v>
      </c>
      <c r="L865" t="s">
        <v>78</v>
      </c>
      <c r="M865" t="s">
        <v>50</v>
      </c>
      <c r="N865">
        <v>14</v>
      </c>
      <c r="O865" t="str">
        <f t="shared" si="13"/>
        <v>Extended</v>
      </c>
    </row>
    <row r="866" spans="1:15" x14ac:dyDescent="0.3">
      <c r="A866" t="s">
        <v>1772</v>
      </c>
      <c r="B866" t="s">
        <v>1773</v>
      </c>
      <c r="C866">
        <v>18</v>
      </c>
      <c r="D866" t="s">
        <v>25</v>
      </c>
      <c r="E866" s="1">
        <v>45580</v>
      </c>
      <c r="F866" s="1">
        <v>45582</v>
      </c>
      <c r="G866" t="s">
        <v>17</v>
      </c>
      <c r="H866" t="s">
        <v>53</v>
      </c>
      <c r="I866">
        <v>2003</v>
      </c>
      <c r="J866" t="s">
        <v>19</v>
      </c>
      <c r="K866" t="s">
        <v>44</v>
      </c>
      <c r="L866" t="s">
        <v>36</v>
      </c>
      <c r="M866" t="s">
        <v>50</v>
      </c>
      <c r="N866">
        <v>2</v>
      </c>
      <c r="O866" t="str">
        <f t="shared" si="13"/>
        <v>Normal</v>
      </c>
    </row>
    <row r="867" spans="1:15" x14ac:dyDescent="0.3">
      <c r="A867" t="s">
        <v>1774</v>
      </c>
      <c r="B867" t="s">
        <v>1775</v>
      </c>
      <c r="C867">
        <v>63</v>
      </c>
      <c r="D867" t="s">
        <v>16</v>
      </c>
      <c r="E867" s="1">
        <v>45795</v>
      </c>
      <c r="F867" s="1">
        <v>45806</v>
      </c>
      <c r="G867" t="s">
        <v>32</v>
      </c>
      <c r="H867" t="s">
        <v>58</v>
      </c>
      <c r="I867">
        <v>1289</v>
      </c>
      <c r="J867" t="s">
        <v>34</v>
      </c>
      <c r="K867" t="s">
        <v>49</v>
      </c>
      <c r="L867" t="s">
        <v>59</v>
      </c>
      <c r="M867" t="s">
        <v>50</v>
      </c>
      <c r="N867">
        <v>11</v>
      </c>
      <c r="O867" t="str">
        <f t="shared" si="13"/>
        <v>Extended</v>
      </c>
    </row>
    <row r="868" spans="1:15" x14ac:dyDescent="0.3">
      <c r="A868" t="s">
        <v>1776</v>
      </c>
      <c r="B868" t="s">
        <v>1777</v>
      </c>
      <c r="C868">
        <v>6</v>
      </c>
      <c r="D868" t="s">
        <v>16</v>
      </c>
      <c r="E868" s="1">
        <v>45716</v>
      </c>
      <c r="F868" s="1">
        <v>45722</v>
      </c>
      <c r="G868" t="s">
        <v>17</v>
      </c>
      <c r="H868" t="s">
        <v>27</v>
      </c>
      <c r="I868">
        <v>1480</v>
      </c>
      <c r="J868" t="s">
        <v>19</v>
      </c>
      <c r="K868" t="s">
        <v>49</v>
      </c>
      <c r="L868" t="s">
        <v>36</v>
      </c>
      <c r="M868" t="s">
        <v>22</v>
      </c>
      <c r="N868">
        <v>6</v>
      </c>
      <c r="O868" t="str">
        <f t="shared" si="13"/>
        <v>Extended</v>
      </c>
    </row>
    <row r="869" spans="1:15" x14ac:dyDescent="0.3">
      <c r="A869" t="s">
        <v>1778</v>
      </c>
      <c r="B869" t="s">
        <v>1779</v>
      </c>
      <c r="C869">
        <v>20</v>
      </c>
      <c r="D869" t="s">
        <v>16</v>
      </c>
      <c r="E869" s="1">
        <v>45446</v>
      </c>
      <c r="F869" s="1">
        <v>45453</v>
      </c>
      <c r="G869" t="s">
        <v>62</v>
      </c>
      <c r="H869" t="s">
        <v>48</v>
      </c>
      <c r="I869">
        <v>4795</v>
      </c>
      <c r="J869" t="s">
        <v>19</v>
      </c>
      <c r="K869" t="s">
        <v>40</v>
      </c>
      <c r="L869" t="s">
        <v>21</v>
      </c>
      <c r="M869" t="s">
        <v>29</v>
      </c>
      <c r="N869">
        <v>7</v>
      </c>
      <c r="O869" t="str">
        <f t="shared" si="13"/>
        <v>Extended</v>
      </c>
    </row>
    <row r="870" spans="1:15" x14ac:dyDescent="0.3">
      <c r="A870" t="s">
        <v>1780</v>
      </c>
      <c r="B870" t="s">
        <v>757</v>
      </c>
      <c r="C870">
        <v>34</v>
      </c>
      <c r="D870" t="s">
        <v>16</v>
      </c>
      <c r="E870" s="1">
        <v>45658</v>
      </c>
      <c r="F870" s="1">
        <v>45659</v>
      </c>
      <c r="G870" t="s">
        <v>66</v>
      </c>
      <c r="H870" t="s">
        <v>73</v>
      </c>
      <c r="I870">
        <v>7235</v>
      </c>
      <c r="J870" t="s">
        <v>34</v>
      </c>
      <c r="K870" t="s">
        <v>20</v>
      </c>
      <c r="L870" t="s">
        <v>78</v>
      </c>
      <c r="M870" t="s">
        <v>22</v>
      </c>
      <c r="N870">
        <v>1</v>
      </c>
      <c r="O870" t="str">
        <f t="shared" si="13"/>
        <v>Normal</v>
      </c>
    </row>
    <row r="871" spans="1:15" x14ac:dyDescent="0.3">
      <c r="A871" t="s">
        <v>1781</v>
      </c>
      <c r="B871" t="s">
        <v>1782</v>
      </c>
      <c r="C871">
        <v>6</v>
      </c>
      <c r="D871" t="s">
        <v>16</v>
      </c>
      <c r="E871" s="1">
        <v>45623</v>
      </c>
      <c r="F871" s="1">
        <v>45635</v>
      </c>
      <c r="G871" t="s">
        <v>66</v>
      </c>
      <c r="H871" t="s">
        <v>39</v>
      </c>
      <c r="I871">
        <v>5940</v>
      </c>
      <c r="J871" t="s">
        <v>19</v>
      </c>
      <c r="K871" t="s">
        <v>40</v>
      </c>
      <c r="L871" t="s">
        <v>36</v>
      </c>
      <c r="M871" t="s">
        <v>29</v>
      </c>
      <c r="N871">
        <v>12</v>
      </c>
      <c r="O871" t="str">
        <f t="shared" si="13"/>
        <v>Extended</v>
      </c>
    </row>
    <row r="872" spans="1:15" x14ac:dyDescent="0.3">
      <c r="A872" t="s">
        <v>1783</v>
      </c>
      <c r="B872" t="s">
        <v>1784</v>
      </c>
      <c r="C872">
        <v>50</v>
      </c>
      <c r="D872" t="s">
        <v>25</v>
      </c>
      <c r="E872" s="1">
        <v>45542</v>
      </c>
      <c r="F872" s="1">
        <v>45548</v>
      </c>
      <c r="G872" t="s">
        <v>32</v>
      </c>
      <c r="H872" t="s">
        <v>53</v>
      </c>
      <c r="I872">
        <v>7963</v>
      </c>
      <c r="J872" t="s">
        <v>34</v>
      </c>
      <c r="K872" t="s">
        <v>133</v>
      </c>
      <c r="L872" t="s">
        <v>45</v>
      </c>
      <c r="M872" t="s">
        <v>29</v>
      </c>
      <c r="N872">
        <v>6</v>
      </c>
      <c r="O872" t="str">
        <f t="shared" si="13"/>
        <v>Extended</v>
      </c>
    </row>
    <row r="873" spans="1:15" x14ac:dyDescent="0.3">
      <c r="A873" t="s">
        <v>1785</v>
      </c>
      <c r="B873" t="s">
        <v>1786</v>
      </c>
      <c r="C873">
        <v>42</v>
      </c>
      <c r="D873" t="s">
        <v>16</v>
      </c>
      <c r="E873" s="1">
        <v>45599</v>
      </c>
      <c r="F873" s="1">
        <v>45600</v>
      </c>
      <c r="G873" t="s">
        <v>62</v>
      </c>
      <c r="H873" t="s">
        <v>48</v>
      </c>
      <c r="I873">
        <v>8305</v>
      </c>
      <c r="J873" t="s">
        <v>19</v>
      </c>
      <c r="K873" t="s">
        <v>20</v>
      </c>
      <c r="L873" t="s">
        <v>21</v>
      </c>
      <c r="M873" t="s">
        <v>50</v>
      </c>
      <c r="N873">
        <v>1</v>
      </c>
      <c r="O873" t="str">
        <f t="shared" si="13"/>
        <v>Normal</v>
      </c>
    </row>
    <row r="874" spans="1:15" x14ac:dyDescent="0.3">
      <c r="A874" t="s">
        <v>1787</v>
      </c>
      <c r="B874" t="s">
        <v>1788</v>
      </c>
      <c r="C874">
        <v>85</v>
      </c>
      <c r="D874" t="s">
        <v>25</v>
      </c>
      <c r="E874" s="1">
        <v>45691</v>
      </c>
      <c r="F874" s="1">
        <v>45694</v>
      </c>
      <c r="G874" t="s">
        <v>43</v>
      </c>
      <c r="H874" t="s">
        <v>63</v>
      </c>
      <c r="I874">
        <v>5107</v>
      </c>
      <c r="J874" t="s">
        <v>19</v>
      </c>
      <c r="K874" t="s">
        <v>133</v>
      </c>
      <c r="L874" t="s">
        <v>59</v>
      </c>
      <c r="M874" t="s">
        <v>29</v>
      </c>
      <c r="N874">
        <v>3</v>
      </c>
      <c r="O874" t="str">
        <f t="shared" si="13"/>
        <v>Normal</v>
      </c>
    </row>
    <row r="875" spans="1:15" x14ac:dyDescent="0.3">
      <c r="A875" t="s">
        <v>1789</v>
      </c>
      <c r="B875" t="s">
        <v>1790</v>
      </c>
      <c r="C875">
        <v>47</v>
      </c>
      <c r="D875" t="s">
        <v>25</v>
      </c>
      <c r="E875" s="1">
        <v>45643</v>
      </c>
      <c r="F875" s="1">
        <v>45656</v>
      </c>
      <c r="G875" t="s">
        <v>94</v>
      </c>
      <c r="H875" t="s">
        <v>63</v>
      </c>
      <c r="I875">
        <v>4320</v>
      </c>
      <c r="J875" t="s">
        <v>34</v>
      </c>
      <c r="K875" t="s">
        <v>20</v>
      </c>
      <c r="L875" t="s">
        <v>78</v>
      </c>
      <c r="M875" t="s">
        <v>29</v>
      </c>
      <c r="N875">
        <v>13</v>
      </c>
      <c r="O875" t="str">
        <f t="shared" si="13"/>
        <v>Extended</v>
      </c>
    </row>
    <row r="876" spans="1:15" x14ac:dyDescent="0.3">
      <c r="A876" t="s">
        <v>1791</v>
      </c>
      <c r="B876" t="s">
        <v>1792</v>
      </c>
      <c r="C876">
        <v>47</v>
      </c>
      <c r="D876" t="s">
        <v>16</v>
      </c>
      <c r="E876" s="1">
        <v>45607</v>
      </c>
      <c r="F876" s="1">
        <v>45613</v>
      </c>
      <c r="G876" t="s">
        <v>26</v>
      </c>
      <c r="H876" t="s">
        <v>89</v>
      </c>
      <c r="I876">
        <v>2123</v>
      </c>
      <c r="J876" t="s">
        <v>19</v>
      </c>
      <c r="K876" t="s">
        <v>35</v>
      </c>
      <c r="L876" t="s">
        <v>45</v>
      </c>
      <c r="M876" t="s">
        <v>29</v>
      </c>
      <c r="N876">
        <v>6</v>
      </c>
      <c r="O876" t="str">
        <f t="shared" si="13"/>
        <v>Extended</v>
      </c>
    </row>
    <row r="877" spans="1:15" x14ac:dyDescent="0.3">
      <c r="A877" t="s">
        <v>1793</v>
      </c>
      <c r="B877" t="s">
        <v>1794</v>
      </c>
      <c r="C877">
        <v>33</v>
      </c>
      <c r="D877" t="s">
        <v>25</v>
      </c>
      <c r="E877" s="1">
        <v>45671</v>
      </c>
      <c r="F877" s="1">
        <v>45685</v>
      </c>
      <c r="G877" t="s">
        <v>94</v>
      </c>
      <c r="H877" t="s">
        <v>33</v>
      </c>
      <c r="I877">
        <v>8933</v>
      </c>
      <c r="J877" t="s">
        <v>19</v>
      </c>
      <c r="K877" t="s">
        <v>133</v>
      </c>
      <c r="L877" t="s">
        <v>21</v>
      </c>
      <c r="M877" t="s">
        <v>22</v>
      </c>
      <c r="N877">
        <v>14</v>
      </c>
      <c r="O877" t="str">
        <f t="shared" si="13"/>
        <v>Extended</v>
      </c>
    </row>
    <row r="878" spans="1:15" x14ac:dyDescent="0.3">
      <c r="A878" t="s">
        <v>1795</v>
      </c>
      <c r="B878" t="s">
        <v>1796</v>
      </c>
      <c r="C878">
        <v>70</v>
      </c>
      <c r="D878" t="s">
        <v>16</v>
      </c>
      <c r="E878" s="1">
        <v>45792</v>
      </c>
      <c r="F878" s="1">
        <v>45803</v>
      </c>
      <c r="G878" t="s">
        <v>43</v>
      </c>
      <c r="H878" t="s">
        <v>18</v>
      </c>
      <c r="I878">
        <v>3538</v>
      </c>
      <c r="J878" t="s">
        <v>34</v>
      </c>
      <c r="K878" t="s">
        <v>54</v>
      </c>
      <c r="L878" t="s">
        <v>36</v>
      </c>
      <c r="M878" t="s">
        <v>50</v>
      </c>
      <c r="N878">
        <v>11</v>
      </c>
      <c r="O878" t="str">
        <f t="shared" si="13"/>
        <v>Extended</v>
      </c>
    </row>
    <row r="879" spans="1:15" x14ac:dyDescent="0.3">
      <c r="A879" t="s">
        <v>1797</v>
      </c>
      <c r="B879" t="s">
        <v>1798</v>
      </c>
      <c r="C879">
        <v>54</v>
      </c>
      <c r="D879" t="s">
        <v>16</v>
      </c>
      <c r="E879" s="1">
        <v>45764</v>
      </c>
      <c r="F879" s="1">
        <v>45776</v>
      </c>
      <c r="G879" t="s">
        <v>26</v>
      </c>
      <c r="H879" t="s">
        <v>33</v>
      </c>
      <c r="I879">
        <v>8977</v>
      </c>
      <c r="J879" t="s">
        <v>34</v>
      </c>
      <c r="K879" t="s">
        <v>54</v>
      </c>
      <c r="L879" t="s">
        <v>78</v>
      </c>
      <c r="M879" t="s">
        <v>22</v>
      </c>
      <c r="N879">
        <v>12</v>
      </c>
      <c r="O879" t="str">
        <f t="shared" si="13"/>
        <v>Extended</v>
      </c>
    </row>
    <row r="880" spans="1:15" x14ac:dyDescent="0.3">
      <c r="A880" t="s">
        <v>1799</v>
      </c>
      <c r="B880" t="s">
        <v>1800</v>
      </c>
      <c r="C880">
        <v>20</v>
      </c>
      <c r="D880" t="s">
        <v>16</v>
      </c>
      <c r="E880" s="1">
        <v>45558</v>
      </c>
      <c r="F880" s="1">
        <v>45560</v>
      </c>
      <c r="G880" t="s">
        <v>94</v>
      </c>
      <c r="H880" t="s">
        <v>39</v>
      </c>
      <c r="I880">
        <v>9091</v>
      </c>
      <c r="J880" t="s">
        <v>34</v>
      </c>
      <c r="K880" t="s">
        <v>54</v>
      </c>
      <c r="L880" t="s">
        <v>55</v>
      </c>
      <c r="M880" t="s">
        <v>22</v>
      </c>
      <c r="N880">
        <v>2</v>
      </c>
      <c r="O880" t="str">
        <f t="shared" si="13"/>
        <v>Normal</v>
      </c>
    </row>
    <row r="881" spans="1:15" x14ac:dyDescent="0.3">
      <c r="A881" t="s">
        <v>1801</v>
      </c>
      <c r="B881" t="s">
        <v>1802</v>
      </c>
      <c r="C881">
        <v>54</v>
      </c>
      <c r="D881" t="s">
        <v>25</v>
      </c>
      <c r="E881" s="1">
        <v>45520</v>
      </c>
      <c r="F881" s="1">
        <v>45531</v>
      </c>
      <c r="G881" t="s">
        <v>43</v>
      </c>
      <c r="H881" t="s">
        <v>73</v>
      </c>
      <c r="I881">
        <v>7750</v>
      </c>
      <c r="J881" t="s">
        <v>19</v>
      </c>
      <c r="K881" t="s">
        <v>49</v>
      </c>
      <c r="L881" t="s">
        <v>55</v>
      </c>
      <c r="M881" t="s">
        <v>29</v>
      </c>
      <c r="N881">
        <v>11</v>
      </c>
      <c r="O881" t="str">
        <f t="shared" si="13"/>
        <v>Extended</v>
      </c>
    </row>
    <row r="882" spans="1:15" x14ac:dyDescent="0.3">
      <c r="A882" t="s">
        <v>1803</v>
      </c>
      <c r="B882" t="s">
        <v>1804</v>
      </c>
      <c r="C882">
        <v>42</v>
      </c>
      <c r="D882" t="s">
        <v>25</v>
      </c>
      <c r="E882" s="1">
        <v>45727</v>
      </c>
      <c r="F882" s="1">
        <v>45740</v>
      </c>
      <c r="G882" t="s">
        <v>66</v>
      </c>
      <c r="H882" t="s">
        <v>48</v>
      </c>
      <c r="I882">
        <v>1625</v>
      </c>
      <c r="J882" t="s">
        <v>34</v>
      </c>
      <c r="K882" t="s">
        <v>20</v>
      </c>
      <c r="L882" t="s">
        <v>78</v>
      </c>
      <c r="M882" t="s">
        <v>22</v>
      </c>
      <c r="N882">
        <v>13</v>
      </c>
      <c r="O882" t="str">
        <f t="shared" si="13"/>
        <v>Extended</v>
      </c>
    </row>
    <row r="883" spans="1:15" x14ac:dyDescent="0.3">
      <c r="A883" t="s">
        <v>1805</v>
      </c>
      <c r="B883" t="s">
        <v>1806</v>
      </c>
      <c r="C883">
        <v>80</v>
      </c>
      <c r="D883" t="s">
        <v>25</v>
      </c>
      <c r="E883" s="1">
        <v>45707</v>
      </c>
      <c r="F883" s="1">
        <v>45713</v>
      </c>
      <c r="G883" t="s">
        <v>26</v>
      </c>
      <c r="H883" t="s">
        <v>27</v>
      </c>
      <c r="I883">
        <v>3078</v>
      </c>
      <c r="J883" t="s">
        <v>34</v>
      </c>
      <c r="K883" t="s">
        <v>40</v>
      </c>
      <c r="L883" t="s">
        <v>28</v>
      </c>
      <c r="M883" t="s">
        <v>22</v>
      </c>
      <c r="N883">
        <v>6</v>
      </c>
      <c r="O883" t="str">
        <f t="shared" si="13"/>
        <v>Extended</v>
      </c>
    </row>
    <row r="884" spans="1:15" x14ac:dyDescent="0.3">
      <c r="A884" t="s">
        <v>1807</v>
      </c>
      <c r="B884" t="s">
        <v>1808</v>
      </c>
      <c r="C884">
        <v>46</v>
      </c>
      <c r="D884" t="s">
        <v>25</v>
      </c>
      <c r="E884" s="1">
        <v>45798</v>
      </c>
      <c r="F884" s="1">
        <v>45811</v>
      </c>
      <c r="G884" t="s">
        <v>43</v>
      </c>
      <c r="H884" t="s">
        <v>89</v>
      </c>
      <c r="I884">
        <v>1810</v>
      </c>
      <c r="J884" t="s">
        <v>34</v>
      </c>
      <c r="K884" t="s">
        <v>54</v>
      </c>
      <c r="L884" t="s">
        <v>59</v>
      </c>
      <c r="M884" t="s">
        <v>50</v>
      </c>
      <c r="N884">
        <v>13</v>
      </c>
      <c r="O884" t="str">
        <f t="shared" si="13"/>
        <v>Extended</v>
      </c>
    </row>
    <row r="885" spans="1:15" x14ac:dyDescent="0.3">
      <c r="A885" t="s">
        <v>1809</v>
      </c>
      <c r="B885" t="s">
        <v>1810</v>
      </c>
      <c r="C885">
        <v>1</v>
      </c>
      <c r="D885" t="s">
        <v>16</v>
      </c>
      <c r="E885" s="1">
        <v>45635</v>
      </c>
      <c r="F885" s="1">
        <v>45649</v>
      </c>
      <c r="G885" t="s">
        <v>94</v>
      </c>
      <c r="H885" t="s">
        <v>39</v>
      </c>
      <c r="I885">
        <v>5782</v>
      </c>
      <c r="J885" t="s">
        <v>19</v>
      </c>
      <c r="K885" t="s">
        <v>133</v>
      </c>
      <c r="L885" t="s">
        <v>36</v>
      </c>
      <c r="M885" t="s">
        <v>50</v>
      </c>
      <c r="N885">
        <v>14</v>
      </c>
      <c r="O885" t="str">
        <f t="shared" si="13"/>
        <v>Extended</v>
      </c>
    </row>
    <row r="886" spans="1:15" x14ac:dyDescent="0.3">
      <c r="A886" t="s">
        <v>1811</v>
      </c>
      <c r="B886" t="s">
        <v>1812</v>
      </c>
      <c r="C886">
        <v>71</v>
      </c>
      <c r="D886" t="s">
        <v>25</v>
      </c>
      <c r="E886" s="1">
        <v>45698</v>
      </c>
      <c r="F886" s="1">
        <v>45707</v>
      </c>
      <c r="G886" t="s">
        <v>17</v>
      </c>
      <c r="H886" t="s">
        <v>33</v>
      </c>
      <c r="I886">
        <v>1018</v>
      </c>
      <c r="J886" t="s">
        <v>34</v>
      </c>
      <c r="K886" t="s">
        <v>40</v>
      </c>
      <c r="L886" t="s">
        <v>78</v>
      </c>
      <c r="M886" t="s">
        <v>50</v>
      </c>
      <c r="N886">
        <v>9</v>
      </c>
      <c r="O886" t="str">
        <f t="shared" si="13"/>
        <v>Extended</v>
      </c>
    </row>
    <row r="887" spans="1:15" x14ac:dyDescent="0.3">
      <c r="A887" t="s">
        <v>1813</v>
      </c>
      <c r="B887" t="s">
        <v>1814</v>
      </c>
      <c r="C887">
        <v>13</v>
      </c>
      <c r="D887" t="s">
        <v>25</v>
      </c>
      <c r="E887" s="1">
        <v>45513</v>
      </c>
      <c r="F887" s="1">
        <v>45526</v>
      </c>
      <c r="G887" t="s">
        <v>94</v>
      </c>
      <c r="H887" t="s">
        <v>53</v>
      </c>
      <c r="I887">
        <v>5363</v>
      </c>
      <c r="J887" t="s">
        <v>19</v>
      </c>
      <c r="K887" t="s">
        <v>40</v>
      </c>
      <c r="L887" t="s">
        <v>55</v>
      </c>
      <c r="M887" t="s">
        <v>29</v>
      </c>
      <c r="N887">
        <v>13</v>
      </c>
      <c r="O887" t="str">
        <f t="shared" si="13"/>
        <v>Extended</v>
      </c>
    </row>
    <row r="888" spans="1:15" x14ac:dyDescent="0.3">
      <c r="A888" t="s">
        <v>1815</v>
      </c>
      <c r="B888" t="s">
        <v>1816</v>
      </c>
      <c r="C888">
        <v>9</v>
      </c>
      <c r="D888" t="s">
        <v>16</v>
      </c>
      <c r="E888" s="1">
        <v>45546</v>
      </c>
      <c r="F888" s="1">
        <v>45554</v>
      </c>
      <c r="G888" t="s">
        <v>66</v>
      </c>
      <c r="H888" t="s">
        <v>89</v>
      </c>
      <c r="I888">
        <v>9677</v>
      </c>
      <c r="J888" t="s">
        <v>34</v>
      </c>
      <c r="K888" t="s">
        <v>35</v>
      </c>
      <c r="L888" t="s">
        <v>78</v>
      </c>
      <c r="M888" t="s">
        <v>29</v>
      </c>
      <c r="N888">
        <v>8</v>
      </c>
      <c r="O888" t="str">
        <f t="shared" si="13"/>
        <v>Extended</v>
      </c>
    </row>
    <row r="889" spans="1:15" x14ac:dyDescent="0.3">
      <c r="A889" t="s">
        <v>1817</v>
      </c>
      <c r="B889" t="s">
        <v>1818</v>
      </c>
      <c r="C889">
        <v>72</v>
      </c>
      <c r="D889" t="s">
        <v>16</v>
      </c>
      <c r="E889" s="1">
        <v>45650</v>
      </c>
      <c r="F889" s="1">
        <v>45659</v>
      </c>
      <c r="G889" t="s">
        <v>17</v>
      </c>
      <c r="H889" t="s">
        <v>53</v>
      </c>
      <c r="I889">
        <v>6381</v>
      </c>
      <c r="J889" t="s">
        <v>19</v>
      </c>
      <c r="K889" t="s">
        <v>54</v>
      </c>
      <c r="L889" t="s">
        <v>78</v>
      </c>
      <c r="M889" t="s">
        <v>50</v>
      </c>
      <c r="N889">
        <v>9</v>
      </c>
      <c r="O889" t="str">
        <f t="shared" si="13"/>
        <v>Extended</v>
      </c>
    </row>
    <row r="890" spans="1:15" x14ac:dyDescent="0.3">
      <c r="A890" t="s">
        <v>1819</v>
      </c>
      <c r="B890" t="s">
        <v>1820</v>
      </c>
      <c r="C890">
        <v>19</v>
      </c>
      <c r="D890" t="s">
        <v>25</v>
      </c>
      <c r="E890" s="1">
        <v>45582</v>
      </c>
      <c r="F890" s="1">
        <v>45589</v>
      </c>
      <c r="G890" t="s">
        <v>17</v>
      </c>
      <c r="H890" t="s">
        <v>63</v>
      </c>
      <c r="I890">
        <v>9771</v>
      </c>
      <c r="J890" t="s">
        <v>34</v>
      </c>
      <c r="K890" t="s">
        <v>49</v>
      </c>
      <c r="L890" t="s">
        <v>78</v>
      </c>
      <c r="M890" t="s">
        <v>22</v>
      </c>
      <c r="N890">
        <v>7</v>
      </c>
      <c r="O890" t="str">
        <f t="shared" si="13"/>
        <v>Extended</v>
      </c>
    </row>
    <row r="891" spans="1:15" x14ac:dyDescent="0.3">
      <c r="A891" t="s">
        <v>1821</v>
      </c>
      <c r="B891" t="s">
        <v>1822</v>
      </c>
      <c r="C891">
        <v>55</v>
      </c>
      <c r="D891" t="s">
        <v>25</v>
      </c>
      <c r="E891" s="1">
        <v>45490</v>
      </c>
      <c r="F891" s="1">
        <v>45495</v>
      </c>
      <c r="G891" t="s">
        <v>43</v>
      </c>
      <c r="H891" t="s">
        <v>58</v>
      </c>
      <c r="I891">
        <v>4062</v>
      </c>
      <c r="J891" t="s">
        <v>34</v>
      </c>
      <c r="K891" t="s">
        <v>49</v>
      </c>
      <c r="L891" t="s">
        <v>55</v>
      </c>
      <c r="M891" t="s">
        <v>29</v>
      </c>
      <c r="N891">
        <v>5</v>
      </c>
      <c r="O891" t="str">
        <f t="shared" si="13"/>
        <v>Extended</v>
      </c>
    </row>
    <row r="892" spans="1:15" x14ac:dyDescent="0.3">
      <c r="A892" t="s">
        <v>1823</v>
      </c>
      <c r="B892" t="s">
        <v>1824</v>
      </c>
      <c r="C892">
        <v>75</v>
      </c>
      <c r="D892" t="s">
        <v>25</v>
      </c>
      <c r="E892" s="1">
        <v>45649</v>
      </c>
      <c r="F892" s="1">
        <v>45655</v>
      </c>
      <c r="G892" t="s">
        <v>17</v>
      </c>
      <c r="H892" t="s">
        <v>39</v>
      </c>
      <c r="I892">
        <v>3700</v>
      </c>
      <c r="J892" t="s">
        <v>34</v>
      </c>
      <c r="K892" t="s">
        <v>44</v>
      </c>
      <c r="L892" t="s">
        <v>21</v>
      </c>
      <c r="M892" t="s">
        <v>29</v>
      </c>
      <c r="N892">
        <v>6</v>
      </c>
      <c r="O892" t="str">
        <f t="shared" si="13"/>
        <v>Extended</v>
      </c>
    </row>
    <row r="893" spans="1:15" x14ac:dyDescent="0.3">
      <c r="A893" t="s">
        <v>1825</v>
      </c>
      <c r="B893" t="s">
        <v>1826</v>
      </c>
      <c r="C893">
        <v>72</v>
      </c>
      <c r="D893" t="s">
        <v>25</v>
      </c>
      <c r="E893" s="1">
        <v>45460</v>
      </c>
      <c r="F893" s="1">
        <v>45469</v>
      </c>
      <c r="G893" t="s">
        <v>66</v>
      </c>
      <c r="H893" t="s">
        <v>73</v>
      </c>
      <c r="I893">
        <v>9983</v>
      </c>
      <c r="J893" t="s">
        <v>34</v>
      </c>
      <c r="K893" t="s">
        <v>49</v>
      </c>
      <c r="L893" t="s">
        <v>78</v>
      </c>
      <c r="M893" t="s">
        <v>22</v>
      </c>
      <c r="N893">
        <v>9</v>
      </c>
      <c r="O893" t="str">
        <f t="shared" si="13"/>
        <v>Extended</v>
      </c>
    </row>
    <row r="894" spans="1:15" x14ac:dyDescent="0.3">
      <c r="A894" t="s">
        <v>1827</v>
      </c>
      <c r="B894" t="s">
        <v>1828</v>
      </c>
      <c r="C894">
        <v>44</v>
      </c>
      <c r="D894" t="s">
        <v>16</v>
      </c>
      <c r="E894" s="1">
        <v>45521</v>
      </c>
      <c r="F894" s="1">
        <v>45531</v>
      </c>
      <c r="G894" t="s">
        <v>26</v>
      </c>
      <c r="H894" t="s">
        <v>48</v>
      </c>
      <c r="I894">
        <v>7092</v>
      </c>
      <c r="J894" t="s">
        <v>19</v>
      </c>
      <c r="K894" t="s">
        <v>54</v>
      </c>
      <c r="L894" t="s">
        <v>45</v>
      </c>
      <c r="M894" t="s">
        <v>50</v>
      </c>
      <c r="N894">
        <v>10</v>
      </c>
      <c r="O894" t="str">
        <f t="shared" si="13"/>
        <v>Extended</v>
      </c>
    </row>
    <row r="895" spans="1:15" x14ac:dyDescent="0.3">
      <c r="A895" t="s">
        <v>1829</v>
      </c>
      <c r="B895" t="s">
        <v>1830</v>
      </c>
      <c r="C895">
        <v>81</v>
      </c>
      <c r="D895" t="s">
        <v>16</v>
      </c>
      <c r="E895" s="1">
        <v>45693</v>
      </c>
      <c r="F895" s="1">
        <v>45698</v>
      </c>
      <c r="G895" t="s">
        <v>17</v>
      </c>
      <c r="H895" t="s">
        <v>58</v>
      </c>
      <c r="I895">
        <v>1411</v>
      </c>
      <c r="J895" t="s">
        <v>34</v>
      </c>
      <c r="K895" t="s">
        <v>44</v>
      </c>
      <c r="L895" t="s">
        <v>36</v>
      </c>
      <c r="M895" t="s">
        <v>50</v>
      </c>
      <c r="N895">
        <v>5</v>
      </c>
      <c r="O895" t="str">
        <f t="shared" si="13"/>
        <v>Extended</v>
      </c>
    </row>
    <row r="896" spans="1:15" x14ac:dyDescent="0.3">
      <c r="A896" t="s">
        <v>1831</v>
      </c>
      <c r="B896" t="s">
        <v>1832</v>
      </c>
      <c r="C896">
        <v>82</v>
      </c>
      <c r="D896" t="s">
        <v>25</v>
      </c>
      <c r="E896" s="1">
        <v>45528</v>
      </c>
      <c r="F896" s="1">
        <v>45534</v>
      </c>
      <c r="G896" t="s">
        <v>94</v>
      </c>
      <c r="H896" t="s">
        <v>18</v>
      </c>
      <c r="I896">
        <v>7764</v>
      </c>
      <c r="J896" t="s">
        <v>34</v>
      </c>
      <c r="K896" t="s">
        <v>40</v>
      </c>
      <c r="L896" t="s">
        <v>28</v>
      </c>
      <c r="M896" t="s">
        <v>50</v>
      </c>
      <c r="N896">
        <v>6</v>
      </c>
      <c r="O896" t="str">
        <f t="shared" si="13"/>
        <v>Extended</v>
      </c>
    </row>
    <row r="897" spans="1:15" x14ac:dyDescent="0.3">
      <c r="A897" t="s">
        <v>1833</v>
      </c>
      <c r="B897" t="s">
        <v>1834</v>
      </c>
      <c r="C897">
        <v>13</v>
      </c>
      <c r="D897" t="s">
        <v>25</v>
      </c>
      <c r="E897" s="1">
        <v>45660</v>
      </c>
      <c r="F897" s="1">
        <v>45668</v>
      </c>
      <c r="G897" t="s">
        <v>17</v>
      </c>
      <c r="H897" t="s">
        <v>58</v>
      </c>
      <c r="I897">
        <v>9783</v>
      </c>
      <c r="J897" t="s">
        <v>34</v>
      </c>
      <c r="K897" t="s">
        <v>49</v>
      </c>
      <c r="L897" t="s">
        <v>78</v>
      </c>
      <c r="M897" t="s">
        <v>22</v>
      </c>
      <c r="N897">
        <v>8</v>
      </c>
      <c r="O897" t="str">
        <f t="shared" si="13"/>
        <v>Extended</v>
      </c>
    </row>
    <row r="898" spans="1:15" x14ac:dyDescent="0.3">
      <c r="A898" t="s">
        <v>1835</v>
      </c>
      <c r="B898" t="s">
        <v>1836</v>
      </c>
      <c r="C898">
        <v>29</v>
      </c>
      <c r="D898" t="s">
        <v>25</v>
      </c>
      <c r="E898" s="1">
        <v>45649</v>
      </c>
      <c r="F898" s="1">
        <v>45659</v>
      </c>
      <c r="G898" t="s">
        <v>94</v>
      </c>
      <c r="H898" t="s">
        <v>73</v>
      </c>
      <c r="I898">
        <v>8268</v>
      </c>
      <c r="J898" t="s">
        <v>34</v>
      </c>
      <c r="K898" t="s">
        <v>20</v>
      </c>
      <c r="L898" t="s">
        <v>21</v>
      </c>
      <c r="M898" t="s">
        <v>22</v>
      </c>
      <c r="N898">
        <v>10</v>
      </c>
      <c r="O898" t="str">
        <f t="shared" si="13"/>
        <v>Extended</v>
      </c>
    </row>
    <row r="899" spans="1:15" x14ac:dyDescent="0.3">
      <c r="A899" t="s">
        <v>1837</v>
      </c>
      <c r="B899" t="s">
        <v>1838</v>
      </c>
      <c r="C899">
        <v>7</v>
      </c>
      <c r="D899" t="s">
        <v>16</v>
      </c>
      <c r="E899" s="1">
        <v>45653</v>
      </c>
      <c r="F899" s="1">
        <v>45657</v>
      </c>
      <c r="G899" t="s">
        <v>32</v>
      </c>
      <c r="H899" t="s">
        <v>63</v>
      </c>
      <c r="I899">
        <v>2745</v>
      </c>
      <c r="J899" t="s">
        <v>19</v>
      </c>
      <c r="K899" t="s">
        <v>20</v>
      </c>
      <c r="L899" t="s">
        <v>21</v>
      </c>
      <c r="M899" t="s">
        <v>29</v>
      </c>
      <c r="N899">
        <v>4</v>
      </c>
      <c r="O899" t="str">
        <f t="shared" ref="O899:O962" si="14">IF(N899&gt;3,"Extended","Normal")</f>
        <v>Extended</v>
      </c>
    </row>
    <row r="900" spans="1:15" x14ac:dyDescent="0.3">
      <c r="A900" t="s">
        <v>1839</v>
      </c>
      <c r="B900" t="s">
        <v>1840</v>
      </c>
      <c r="C900">
        <v>7</v>
      </c>
      <c r="D900" t="s">
        <v>25</v>
      </c>
      <c r="E900" s="1">
        <v>45756</v>
      </c>
      <c r="F900" s="1">
        <v>45766</v>
      </c>
      <c r="G900" t="s">
        <v>43</v>
      </c>
      <c r="H900" t="s">
        <v>63</v>
      </c>
      <c r="I900">
        <v>7010</v>
      </c>
      <c r="J900" t="s">
        <v>19</v>
      </c>
      <c r="K900" t="s">
        <v>35</v>
      </c>
      <c r="L900" t="s">
        <v>28</v>
      </c>
      <c r="M900" t="s">
        <v>29</v>
      </c>
      <c r="N900">
        <v>10</v>
      </c>
      <c r="O900" t="str">
        <f t="shared" si="14"/>
        <v>Extended</v>
      </c>
    </row>
    <row r="901" spans="1:15" x14ac:dyDescent="0.3">
      <c r="A901" t="s">
        <v>1841</v>
      </c>
      <c r="B901" t="s">
        <v>1842</v>
      </c>
      <c r="C901">
        <v>53</v>
      </c>
      <c r="D901" t="s">
        <v>16</v>
      </c>
      <c r="E901" s="1">
        <v>45557</v>
      </c>
      <c r="F901" s="1">
        <v>45569</v>
      </c>
      <c r="G901" t="s">
        <v>62</v>
      </c>
      <c r="H901" t="s">
        <v>39</v>
      </c>
      <c r="I901">
        <v>9503</v>
      </c>
      <c r="J901" t="s">
        <v>19</v>
      </c>
      <c r="K901" t="s">
        <v>40</v>
      </c>
      <c r="L901" t="s">
        <v>45</v>
      </c>
      <c r="M901" t="s">
        <v>29</v>
      </c>
      <c r="N901">
        <v>12</v>
      </c>
      <c r="O901" t="str">
        <f t="shared" si="14"/>
        <v>Extended</v>
      </c>
    </row>
    <row r="902" spans="1:15" x14ac:dyDescent="0.3">
      <c r="A902" t="s">
        <v>1843</v>
      </c>
      <c r="B902" t="s">
        <v>1844</v>
      </c>
      <c r="C902">
        <v>67</v>
      </c>
      <c r="D902" t="s">
        <v>25</v>
      </c>
      <c r="E902" s="1">
        <v>45680</v>
      </c>
      <c r="F902" s="1">
        <v>45689</v>
      </c>
      <c r="G902" t="s">
        <v>62</v>
      </c>
      <c r="H902" t="s">
        <v>33</v>
      </c>
      <c r="I902">
        <v>4379</v>
      </c>
      <c r="J902" t="s">
        <v>34</v>
      </c>
      <c r="K902" t="s">
        <v>35</v>
      </c>
      <c r="L902" t="s">
        <v>78</v>
      </c>
      <c r="M902" t="s">
        <v>29</v>
      </c>
      <c r="N902">
        <v>9</v>
      </c>
      <c r="O902" t="str">
        <f t="shared" si="14"/>
        <v>Extended</v>
      </c>
    </row>
    <row r="903" spans="1:15" x14ac:dyDescent="0.3">
      <c r="A903" t="s">
        <v>1845</v>
      </c>
      <c r="B903" t="s">
        <v>1846</v>
      </c>
      <c r="C903">
        <v>88</v>
      </c>
      <c r="D903" t="s">
        <v>25</v>
      </c>
      <c r="E903" s="1">
        <v>45599</v>
      </c>
      <c r="F903" s="1">
        <v>45609</v>
      </c>
      <c r="G903" t="s">
        <v>66</v>
      </c>
      <c r="H903" t="s">
        <v>27</v>
      </c>
      <c r="I903">
        <v>1807</v>
      </c>
      <c r="J903" t="s">
        <v>19</v>
      </c>
      <c r="K903" t="s">
        <v>133</v>
      </c>
      <c r="L903" t="s">
        <v>78</v>
      </c>
      <c r="M903" t="s">
        <v>29</v>
      </c>
      <c r="N903">
        <v>10</v>
      </c>
      <c r="O903" t="str">
        <f t="shared" si="14"/>
        <v>Extended</v>
      </c>
    </row>
    <row r="904" spans="1:15" x14ac:dyDescent="0.3">
      <c r="A904" t="s">
        <v>1847</v>
      </c>
      <c r="B904" t="s">
        <v>1848</v>
      </c>
      <c r="C904">
        <v>60</v>
      </c>
      <c r="D904" t="s">
        <v>16</v>
      </c>
      <c r="E904" s="1">
        <v>45681</v>
      </c>
      <c r="F904" s="1">
        <v>45692</v>
      </c>
      <c r="G904" t="s">
        <v>94</v>
      </c>
      <c r="H904" t="s">
        <v>33</v>
      </c>
      <c r="I904">
        <v>5016</v>
      </c>
      <c r="J904" t="s">
        <v>19</v>
      </c>
      <c r="K904" t="s">
        <v>133</v>
      </c>
      <c r="L904" t="s">
        <v>36</v>
      </c>
      <c r="M904" t="s">
        <v>29</v>
      </c>
      <c r="N904">
        <v>11</v>
      </c>
      <c r="O904" t="str">
        <f t="shared" si="14"/>
        <v>Extended</v>
      </c>
    </row>
    <row r="905" spans="1:15" x14ac:dyDescent="0.3">
      <c r="A905" t="s">
        <v>1849</v>
      </c>
      <c r="B905" t="s">
        <v>1850</v>
      </c>
      <c r="C905">
        <v>23</v>
      </c>
      <c r="D905" t="s">
        <v>25</v>
      </c>
      <c r="E905" s="1">
        <v>45678</v>
      </c>
      <c r="F905" s="1">
        <v>45683</v>
      </c>
      <c r="G905" t="s">
        <v>94</v>
      </c>
      <c r="H905" t="s">
        <v>73</v>
      </c>
      <c r="I905">
        <v>9243</v>
      </c>
      <c r="J905" t="s">
        <v>19</v>
      </c>
      <c r="K905" t="s">
        <v>54</v>
      </c>
      <c r="L905" t="s">
        <v>28</v>
      </c>
      <c r="M905" t="s">
        <v>22</v>
      </c>
      <c r="N905">
        <v>5</v>
      </c>
      <c r="O905" t="str">
        <f t="shared" si="14"/>
        <v>Extended</v>
      </c>
    </row>
    <row r="906" spans="1:15" x14ac:dyDescent="0.3">
      <c r="A906" t="s">
        <v>1851</v>
      </c>
      <c r="B906" t="s">
        <v>1852</v>
      </c>
      <c r="C906">
        <v>81</v>
      </c>
      <c r="D906" t="s">
        <v>25</v>
      </c>
      <c r="E906" s="1">
        <v>45478</v>
      </c>
      <c r="F906" s="1">
        <v>45481</v>
      </c>
      <c r="G906" t="s">
        <v>94</v>
      </c>
      <c r="H906" t="s">
        <v>89</v>
      </c>
      <c r="I906">
        <v>7465</v>
      </c>
      <c r="J906" t="s">
        <v>34</v>
      </c>
      <c r="K906" t="s">
        <v>49</v>
      </c>
      <c r="L906" t="s">
        <v>55</v>
      </c>
      <c r="M906" t="s">
        <v>22</v>
      </c>
      <c r="N906">
        <v>3</v>
      </c>
      <c r="O906" t="str">
        <f t="shared" si="14"/>
        <v>Normal</v>
      </c>
    </row>
    <row r="907" spans="1:15" x14ac:dyDescent="0.3">
      <c r="A907" t="s">
        <v>1853</v>
      </c>
      <c r="B907" t="s">
        <v>1854</v>
      </c>
      <c r="C907">
        <v>65</v>
      </c>
      <c r="D907" t="s">
        <v>25</v>
      </c>
      <c r="E907" s="1">
        <v>45665</v>
      </c>
      <c r="F907" s="1">
        <v>45670</v>
      </c>
      <c r="G907" t="s">
        <v>62</v>
      </c>
      <c r="H907" t="s">
        <v>48</v>
      </c>
      <c r="I907">
        <v>5001</v>
      </c>
      <c r="J907" t="s">
        <v>19</v>
      </c>
      <c r="K907" t="s">
        <v>54</v>
      </c>
      <c r="L907" t="s">
        <v>78</v>
      </c>
      <c r="M907" t="s">
        <v>50</v>
      </c>
      <c r="N907">
        <v>5</v>
      </c>
      <c r="O907" t="str">
        <f t="shared" si="14"/>
        <v>Extended</v>
      </c>
    </row>
    <row r="908" spans="1:15" x14ac:dyDescent="0.3">
      <c r="A908" t="s">
        <v>1855</v>
      </c>
      <c r="B908" t="s">
        <v>1856</v>
      </c>
      <c r="C908">
        <v>33</v>
      </c>
      <c r="D908" t="s">
        <v>25</v>
      </c>
      <c r="E908" s="1">
        <v>45507</v>
      </c>
      <c r="F908" s="1">
        <v>45511</v>
      </c>
      <c r="G908" t="s">
        <v>94</v>
      </c>
      <c r="H908" t="s">
        <v>27</v>
      </c>
      <c r="I908">
        <v>1287</v>
      </c>
      <c r="J908" t="s">
        <v>34</v>
      </c>
      <c r="K908" t="s">
        <v>54</v>
      </c>
      <c r="L908" t="s">
        <v>78</v>
      </c>
      <c r="M908" t="s">
        <v>29</v>
      </c>
      <c r="N908">
        <v>4</v>
      </c>
      <c r="O908" t="str">
        <f t="shared" si="14"/>
        <v>Extended</v>
      </c>
    </row>
    <row r="909" spans="1:15" x14ac:dyDescent="0.3">
      <c r="A909" t="s">
        <v>1857</v>
      </c>
      <c r="B909" t="s">
        <v>1858</v>
      </c>
      <c r="C909">
        <v>24</v>
      </c>
      <c r="D909" t="s">
        <v>25</v>
      </c>
      <c r="E909" s="1">
        <v>45804</v>
      </c>
      <c r="F909" s="1">
        <v>45808</v>
      </c>
      <c r="G909" t="s">
        <v>94</v>
      </c>
      <c r="H909" t="s">
        <v>53</v>
      </c>
      <c r="I909">
        <v>3316</v>
      </c>
      <c r="J909" t="s">
        <v>19</v>
      </c>
      <c r="K909" t="s">
        <v>44</v>
      </c>
      <c r="L909" t="s">
        <v>36</v>
      </c>
      <c r="M909" t="s">
        <v>22</v>
      </c>
      <c r="N909">
        <v>4</v>
      </c>
      <c r="O909" t="str">
        <f t="shared" si="14"/>
        <v>Extended</v>
      </c>
    </row>
    <row r="910" spans="1:15" x14ac:dyDescent="0.3">
      <c r="A910" t="s">
        <v>1859</v>
      </c>
      <c r="B910" t="s">
        <v>1860</v>
      </c>
      <c r="C910">
        <v>27</v>
      </c>
      <c r="D910" t="s">
        <v>25</v>
      </c>
      <c r="E910" s="1">
        <v>45662</v>
      </c>
      <c r="F910" s="1">
        <v>45675</v>
      </c>
      <c r="G910" t="s">
        <v>66</v>
      </c>
      <c r="H910" t="s">
        <v>58</v>
      </c>
      <c r="I910">
        <v>8789</v>
      </c>
      <c r="J910" t="s">
        <v>19</v>
      </c>
      <c r="K910" t="s">
        <v>54</v>
      </c>
      <c r="L910" t="s">
        <v>21</v>
      </c>
      <c r="M910" t="s">
        <v>22</v>
      </c>
      <c r="N910">
        <v>13</v>
      </c>
      <c r="O910" t="str">
        <f t="shared" si="14"/>
        <v>Extended</v>
      </c>
    </row>
    <row r="911" spans="1:15" x14ac:dyDescent="0.3">
      <c r="A911" t="s">
        <v>1861</v>
      </c>
      <c r="B911" t="s">
        <v>1862</v>
      </c>
      <c r="C911">
        <v>22</v>
      </c>
      <c r="D911" t="s">
        <v>16</v>
      </c>
      <c r="E911" s="1">
        <v>45526</v>
      </c>
      <c r="F911" s="1">
        <v>45529</v>
      </c>
      <c r="G911" t="s">
        <v>26</v>
      </c>
      <c r="H911" t="s">
        <v>53</v>
      </c>
      <c r="I911">
        <v>8233</v>
      </c>
      <c r="J911" t="s">
        <v>34</v>
      </c>
      <c r="K911" t="s">
        <v>20</v>
      </c>
      <c r="L911" t="s">
        <v>45</v>
      </c>
      <c r="M911" t="s">
        <v>50</v>
      </c>
      <c r="N911">
        <v>3</v>
      </c>
      <c r="O911" t="str">
        <f t="shared" si="14"/>
        <v>Normal</v>
      </c>
    </row>
    <row r="912" spans="1:15" x14ac:dyDescent="0.3">
      <c r="A912" t="s">
        <v>1863</v>
      </c>
      <c r="B912" t="s">
        <v>1864</v>
      </c>
      <c r="C912">
        <v>8</v>
      </c>
      <c r="D912" t="s">
        <v>25</v>
      </c>
      <c r="E912" s="1">
        <v>45597</v>
      </c>
      <c r="F912" s="1">
        <v>45598</v>
      </c>
      <c r="G912" t="s">
        <v>62</v>
      </c>
      <c r="H912" t="s">
        <v>73</v>
      </c>
      <c r="I912">
        <v>6899</v>
      </c>
      <c r="J912" t="s">
        <v>34</v>
      </c>
      <c r="K912" t="s">
        <v>133</v>
      </c>
      <c r="L912" t="s">
        <v>55</v>
      </c>
      <c r="M912" t="s">
        <v>29</v>
      </c>
      <c r="N912">
        <v>1</v>
      </c>
      <c r="O912" t="str">
        <f t="shared" si="14"/>
        <v>Normal</v>
      </c>
    </row>
    <row r="913" spans="1:15" x14ac:dyDescent="0.3">
      <c r="A913" t="s">
        <v>1865</v>
      </c>
      <c r="B913" t="s">
        <v>1866</v>
      </c>
      <c r="C913">
        <v>30</v>
      </c>
      <c r="D913" t="s">
        <v>25</v>
      </c>
      <c r="E913" s="1">
        <v>45694</v>
      </c>
      <c r="F913" s="1">
        <v>45699</v>
      </c>
      <c r="G913" t="s">
        <v>17</v>
      </c>
      <c r="H913" t="s">
        <v>48</v>
      </c>
      <c r="I913">
        <v>5167</v>
      </c>
      <c r="J913" t="s">
        <v>34</v>
      </c>
      <c r="K913" t="s">
        <v>133</v>
      </c>
      <c r="L913" t="s">
        <v>59</v>
      </c>
      <c r="M913" t="s">
        <v>29</v>
      </c>
      <c r="N913">
        <v>5</v>
      </c>
      <c r="O913" t="str">
        <f t="shared" si="14"/>
        <v>Extended</v>
      </c>
    </row>
    <row r="914" spans="1:15" x14ac:dyDescent="0.3">
      <c r="A914" t="s">
        <v>1867</v>
      </c>
      <c r="B914" t="s">
        <v>1868</v>
      </c>
      <c r="C914">
        <v>85</v>
      </c>
      <c r="D914" t="s">
        <v>25</v>
      </c>
      <c r="E914" s="1">
        <v>45706</v>
      </c>
      <c r="F914" s="1">
        <v>45709</v>
      </c>
      <c r="G914" t="s">
        <v>26</v>
      </c>
      <c r="H914" t="s">
        <v>27</v>
      </c>
      <c r="I914">
        <v>8595</v>
      </c>
      <c r="J914" t="s">
        <v>19</v>
      </c>
      <c r="K914" t="s">
        <v>44</v>
      </c>
      <c r="L914" t="s">
        <v>59</v>
      </c>
      <c r="M914" t="s">
        <v>50</v>
      </c>
      <c r="N914">
        <v>3</v>
      </c>
      <c r="O914" t="str">
        <f t="shared" si="14"/>
        <v>Normal</v>
      </c>
    </row>
    <row r="915" spans="1:15" x14ac:dyDescent="0.3">
      <c r="A915" t="s">
        <v>1869</v>
      </c>
      <c r="B915" t="s">
        <v>1870</v>
      </c>
      <c r="C915">
        <v>12</v>
      </c>
      <c r="D915" t="s">
        <v>25</v>
      </c>
      <c r="E915" s="1">
        <v>45650</v>
      </c>
      <c r="F915" s="1">
        <v>45659</v>
      </c>
      <c r="G915" t="s">
        <v>32</v>
      </c>
      <c r="H915" t="s">
        <v>53</v>
      </c>
      <c r="I915">
        <v>1813</v>
      </c>
      <c r="J915" t="s">
        <v>34</v>
      </c>
      <c r="K915" t="s">
        <v>49</v>
      </c>
      <c r="L915" t="s">
        <v>21</v>
      </c>
      <c r="M915" t="s">
        <v>29</v>
      </c>
      <c r="N915">
        <v>9</v>
      </c>
      <c r="O915" t="str">
        <f t="shared" si="14"/>
        <v>Extended</v>
      </c>
    </row>
    <row r="916" spans="1:15" x14ac:dyDescent="0.3">
      <c r="A916" t="s">
        <v>1871</v>
      </c>
      <c r="B916" t="s">
        <v>1872</v>
      </c>
      <c r="C916">
        <v>7</v>
      </c>
      <c r="D916" t="s">
        <v>25</v>
      </c>
      <c r="E916" s="1">
        <v>45534</v>
      </c>
      <c r="F916" s="1">
        <v>45541</v>
      </c>
      <c r="G916" t="s">
        <v>66</v>
      </c>
      <c r="H916" t="s">
        <v>33</v>
      </c>
      <c r="I916">
        <v>7567</v>
      </c>
      <c r="J916" t="s">
        <v>19</v>
      </c>
      <c r="K916" t="s">
        <v>54</v>
      </c>
      <c r="L916" t="s">
        <v>59</v>
      </c>
      <c r="M916" t="s">
        <v>22</v>
      </c>
      <c r="N916">
        <v>7</v>
      </c>
      <c r="O916" t="str">
        <f t="shared" si="14"/>
        <v>Extended</v>
      </c>
    </row>
    <row r="917" spans="1:15" x14ac:dyDescent="0.3">
      <c r="A917" t="s">
        <v>1873</v>
      </c>
      <c r="B917" t="s">
        <v>1874</v>
      </c>
      <c r="C917">
        <v>21</v>
      </c>
      <c r="D917" t="s">
        <v>25</v>
      </c>
      <c r="E917" s="1">
        <v>45683</v>
      </c>
      <c r="F917" s="1">
        <v>45691</v>
      </c>
      <c r="G917" t="s">
        <v>32</v>
      </c>
      <c r="H917" t="s">
        <v>53</v>
      </c>
      <c r="I917">
        <v>4959</v>
      </c>
      <c r="J917" t="s">
        <v>34</v>
      </c>
      <c r="K917" t="s">
        <v>49</v>
      </c>
      <c r="L917" t="s">
        <v>28</v>
      </c>
      <c r="M917" t="s">
        <v>22</v>
      </c>
      <c r="N917">
        <v>8</v>
      </c>
      <c r="O917" t="str">
        <f t="shared" si="14"/>
        <v>Extended</v>
      </c>
    </row>
    <row r="918" spans="1:15" x14ac:dyDescent="0.3">
      <c r="A918" t="s">
        <v>1875</v>
      </c>
      <c r="B918" t="s">
        <v>1876</v>
      </c>
      <c r="C918">
        <v>87</v>
      </c>
      <c r="D918" t="s">
        <v>25</v>
      </c>
      <c r="E918" s="1">
        <v>45490</v>
      </c>
      <c r="F918" s="1">
        <v>45504</v>
      </c>
      <c r="G918" t="s">
        <v>62</v>
      </c>
      <c r="H918" t="s">
        <v>27</v>
      </c>
      <c r="I918">
        <v>7581</v>
      </c>
      <c r="J918" t="s">
        <v>19</v>
      </c>
      <c r="K918" t="s">
        <v>44</v>
      </c>
      <c r="L918" t="s">
        <v>21</v>
      </c>
      <c r="M918" t="s">
        <v>29</v>
      </c>
      <c r="N918">
        <v>14</v>
      </c>
      <c r="O918" t="str">
        <f t="shared" si="14"/>
        <v>Extended</v>
      </c>
    </row>
    <row r="919" spans="1:15" x14ac:dyDescent="0.3">
      <c r="A919" t="s">
        <v>1877</v>
      </c>
      <c r="B919" t="s">
        <v>1878</v>
      </c>
      <c r="C919">
        <v>2</v>
      </c>
      <c r="D919" t="s">
        <v>16</v>
      </c>
      <c r="E919" s="1">
        <v>45704</v>
      </c>
      <c r="F919" s="1">
        <v>45714</v>
      </c>
      <c r="G919" t="s">
        <v>94</v>
      </c>
      <c r="H919" t="s">
        <v>39</v>
      </c>
      <c r="I919">
        <v>5275</v>
      </c>
      <c r="J919" t="s">
        <v>19</v>
      </c>
      <c r="K919" t="s">
        <v>49</v>
      </c>
      <c r="L919" t="s">
        <v>55</v>
      </c>
      <c r="M919" t="s">
        <v>22</v>
      </c>
      <c r="N919">
        <v>10</v>
      </c>
      <c r="O919" t="str">
        <f t="shared" si="14"/>
        <v>Extended</v>
      </c>
    </row>
    <row r="920" spans="1:15" x14ac:dyDescent="0.3">
      <c r="A920" t="s">
        <v>1879</v>
      </c>
      <c r="B920" t="s">
        <v>1880</v>
      </c>
      <c r="C920">
        <v>77</v>
      </c>
      <c r="D920" t="s">
        <v>16</v>
      </c>
      <c r="E920" s="1">
        <v>45716</v>
      </c>
      <c r="F920" s="1">
        <v>45726</v>
      </c>
      <c r="G920" t="s">
        <v>66</v>
      </c>
      <c r="H920" t="s">
        <v>58</v>
      </c>
      <c r="I920">
        <v>4863</v>
      </c>
      <c r="J920" t="s">
        <v>19</v>
      </c>
      <c r="K920" t="s">
        <v>40</v>
      </c>
      <c r="L920" t="s">
        <v>59</v>
      </c>
      <c r="M920" t="s">
        <v>29</v>
      </c>
      <c r="N920">
        <v>10</v>
      </c>
      <c r="O920" t="str">
        <f t="shared" si="14"/>
        <v>Extended</v>
      </c>
    </row>
    <row r="921" spans="1:15" x14ac:dyDescent="0.3">
      <c r="A921" t="s">
        <v>1881</v>
      </c>
      <c r="B921" t="s">
        <v>1882</v>
      </c>
      <c r="C921">
        <v>61</v>
      </c>
      <c r="D921" t="s">
        <v>16</v>
      </c>
      <c r="E921" s="1">
        <v>45569</v>
      </c>
      <c r="F921" s="1">
        <v>45578</v>
      </c>
      <c r="G921" t="s">
        <v>26</v>
      </c>
      <c r="H921" t="s">
        <v>63</v>
      </c>
      <c r="I921">
        <v>8482</v>
      </c>
      <c r="J921" t="s">
        <v>19</v>
      </c>
      <c r="K921" t="s">
        <v>20</v>
      </c>
      <c r="L921" t="s">
        <v>28</v>
      </c>
      <c r="M921" t="s">
        <v>22</v>
      </c>
      <c r="N921">
        <v>9</v>
      </c>
      <c r="O921" t="str">
        <f t="shared" si="14"/>
        <v>Extended</v>
      </c>
    </row>
    <row r="922" spans="1:15" x14ac:dyDescent="0.3">
      <c r="A922" t="s">
        <v>1883</v>
      </c>
      <c r="B922" t="s">
        <v>1884</v>
      </c>
      <c r="C922">
        <v>73</v>
      </c>
      <c r="D922" t="s">
        <v>16</v>
      </c>
      <c r="E922" s="1">
        <v>45726</v>
      </c>
      <c r="F922" s="1">
        <v>45734</v>
      </c>
      <c r="G922" t="s">
        <v>43</v>
      </c>
      <c r="H922" t="s">
        <v>33</v>
      </c>
      <c r="I922">
        <v>1816</v>
      </c>
      <c r="J922" t="s">
        <v>19</v>
      </c>
      <c r="K922" t="s">
        <v>35</v>
      </c>
      <c r="L922" t="s">
        <v>36</v>
      </c>
      <c r="M922" t="s">
        <v>22</v>
      </c>
      <c r="N922">
        <v>8</v>
      </c>
      <c r="O922" t="str">
        <f t="shared" si="14"/>
        <v>Extended</v>
      </c>
    </row>
    <row r="923" spans="1:15" x14ac:dyDescent="0.3">
      <c r="A923" t="s">
        <v>1885</v>
      </c>
      <c r="B923" t="s">
        <v>1886</v>
      </c>
      <c r="C923">
        <v>83</v>
      </c>
      <c r="D923" t="s">
        <v>16</v>
      </c>
      <c r="E923" s="1">
        <v>45728</v>
      </c>
      <c r="F923" s="1">
        <v>45735</v>
      </c>
      <c r="G923" t="s">
        <v>17</v>
      </c>
      <c r="H923" t="s">
        <v>39</v>
      </c>
      <c r="I923">
        <v>3004</v>
      </c>
      <c r="J923" t="s">
        <v>19</v>
      </c>
      <c r="K923" t="s">
        <v>54</v>
      </c>
      <c r="L923" t="s">
        <v>59</v>
      </c>
      <c r="M923" t="s">
        <v>50</v>
      </c>
      <c r="N923">
        <v>7</v>
      </c>
      <c r="O923" t="str">
        <f t="shared" si="14"/>
        <v>Extended</v>
      </c>
    </row>
    <row r="924" spans="1:15" x14ac:dyDescent="0.3">
      <c r="A924" t="s">
        <v>1887</v>
      </c>
      <c r="B924" t="s">
        <v>1888</v>
      </c>
      <c r="C924">
        <v>75</v>
      </c>
      <c r="D924" t="s">
        <v>25</v>
      </c>
      <c r="E924" s="1">
        <v>45700</v>
      </c>
      <c r="F924" s="1">
        <v>45705</v>
      </c>
      <c r="G924" t="s">
        <v>26</v>
      </c>
      <c r="H924" t="s">
        <v>58</v>
      </c>
      <c r="I924">
        <v>1933</v>
      </c>
      <c r="J924" t="s">
        <v>19</v>
      </c>
      <c r="K924" t="s">
        <v>54</v>
      </c>
      <c r="L924" t="s">
        <v>21</v>
      </c>
      <c r="M924" t="s">
        <v>29</v>
      </c>
      <c r="N924">
        <v>5</v>
      </c>
      <c r="O924" t="str">
        <f t="shared" si="14"/>
        <v>Extended</v>
      </c>
    </row>
    <row r="925" spans="1:15" x14ac:dyDescent="0.3">
      <c r="A925" t="s">
        <v>1889</v>
      </c>
      <c r="B925" t="s">
        <v>1890</v>
      </c>
      <c r="C925">
        <v>31</v>
      </c>
      <c r="D925" t="s">
        <v>16</v>
      </c>
      <c r="E925" s="1">
        <v>45795</v>
      </c>
      <c r="F925" s="1">
        <v>45797</v>
      </c>
      <c r="G925" t="s">
        <v>26</v>
      </c>
      <c r="H925" t="s">
        <v>33</v>
      </c>
      <c r="I925">
        <v>6323</v>
      </c>
      <c r="J925" t="s">
        <v>34</v>
      </c>
      <c r="K925" t="s">
        <v>35</v>
      </c>
      <c r="L925" t="s">
        <v>55</v>
      </c>
      <c r="M925" t="s">
        <v>29</v>
      </c>
      <c r="N925">
        <v>2</v>
      </c>
      <c r="O925" t="str">
        <f t="shared" si="14"/>
        <v>Normal</v>
      </c>
    </row>
    <row r="926" spans="1:15" x14ac:dyDescent="0.3">
      <c r="A926" t="s">
        <v>1891</v>
      </c>
      <c r="B926" t="s">
        <v>1892</v>
      </c>
      <c r="C926">
        <v>68</v>
      </c>
      <c r="D926" t="s">
        <v>25</v>
      </c>
      <c r="E926" s="1">
        <v>45610</v>
      </c>
      <c r="F926" s="1">
        <v>45613</v>
      </c>
      <c r="G926" t="s">
        <v>17</v>
      </c>
      <c r="H926" t="s">
        <v>58</v>
      </c>
      <c r="I926">
        <v>7634</v>
      </c>
      <c r="J926" t="s">
        <v>19</v>
      </c>
      <c r="K926" t="s">
        <v>20</v>
      </c>
      <c r="L926" t="s">
        <v>45</v>
      </c>
      <c r="M926" t="s">
        <v>50</v>
      </c>
      <c r="N926">
        <v>3</v>
      </c>
      <c r="O926" t="str">
        <f t="shared" si="14"/>
        <v>Normal</v>
      </c>
    </row>
    <row r="927" spans="1:15" x14ac:dyDescent="0.3">
      <c r="A927" t="s">
        <v>1893</v>
      </c>
      <c r="B927" t="s">
        <v>1894</v>
      </c>
      <c r="C927">
        <v>64</v>
      </c>
      <c r="D927" t="s">
        <v>16</v>
      </c>
      <c r="E927" s="1">
        <v>45671</v>
      </c>
      <c r="F927" s="1">
        <v>45673</v>
      </c>
      <c r="G927" t="s">
        <v>66</v>
      </c>
      <c r="H927" t="s">
        <v>89</v>
      </c>
      <c r="I927">
        <v>7851</v>
      </c>
      <c r="J927" t="s">
        <v>34</v>
      </c>
      <c r="K927" t="s">
        <v>49</v>
      </c>
      <c r="L927" t="s">
        <v>78</v>
      </c>
      <c r="M927" t="s">
        <v>29</v>
      </c>
      <c r="N927">
        <v>2</v>
      </c>
      <c r="O927" t="str">
        <f t="shared" si="14"/>
        <v>Normal</v>
      </c>
    </row>
    <row r="928" spans="1:15" x14ac:dyDescent="0.3">
      <c r="A928" t="s">
        <v>1895</v>
      </c>
      <c r="B928" t="s">
        <v>1896</v>
      </c>
      <c r="C928">
        <v>36</v>
      </c>
      <c r="D928" t="s">
        <v>16</v>
      </c>
      <c r="E928" s="1">
        <v>45556</v>
      </c>
      <c r="F928" s="1">
        <v>45564</v>
      </c>
      <c r="G928" t="s">
        <v>94</v>
      </c>
      <c r="H928" t="s">
        <v>48</v>
      </c>
      <c r="I928">
        <v>1410</v>
      </c>
      <c r="J928" t="s">
        <v>34</v>
      </c>
      <c r="K928" t="s">
        <v>40</v>
      </c>
      <c r="L928" t="s">
        <v>28</v>
      </c>
      <c r="M928" t="s">
        <v>29</v>
      </c>
      <c r="N928">
        <v>8</v>
      </c>
      <c r="O928" t="str">
        <f t="shared" si="14"/>
        <v>Extended</v>
      </c>
    </row>
    <row r="929" spans="1:15" x14ac:dyDescent="0.3">
      <c r="A929" t="s">
        <v>1897</v>
      </c>
      <c r="B929" t="s">
        <v>1898</v>
      </c>
      <c r="C929">
        <v>46</v>
      </c>
      <c r="D929" t="s">
        <v>16</v>
      </c>
      <c r="E929" s="1">
        <v>45554</v>
      </c>
      <c r="F929" s="1">
        <v>45556</v>
      </c>
      <c r="G929" t="s">
        <v>94</v>
      </c>
      <c r="H929" t="s">
        <v>18</v>
      </c>
      <c r="I929">
        <v>5671</v>
      </c>
      <c r="J929" t="s">
        <v>19</v>
      </c>
      <c r="K929" t="s">
        <v>35</v>
      </c>
      <c r="L929" t="s">
        <v>78</v>
      </c>
      <c r="M929" t="s">
        <v>29</v>
      </c>
      <c r="N929">
        <v>2</v>
      </c>
      <c r="O929" t="str">
        <f t="shared" si="14"/>
        <v>Normal</v>
      </c>
    </row>
    <row r="930" spans="1:15" x14ac:dyDescent="0.3">
      <c r="A930" t="s">
        <v>1899</v>
      </c>
      <c r="B930" t="s">
        <v>1900</v>
      </c>
      <c r="C930">
        <v>22</v>
      </c>
      <c r="D930" t="s">
        <v>25</v>
      </c>
      <c r="E930" s="1">
        <v>45556</v>
      </c>
      <c r="F930" s="1">
        <v>45561</v>
      </c>
      <c r="G930" t="s">
        <v>26</v>
      </c>
      <c r="H930" t="s">
        <v>63</v>
      </c>
      <c r="I930">
        <v>9760</v>
      </c>
      <c r="J930" t="s">
        <v>34</v>
      </c>
      <c r="K930" t="s">
        <v>54</v>
      </c>
      <c r="L930" t="s">
        <v>55</v>
      </c>
      <c r="M930" t="s">
        <v>29</v>
      </c>
      <c r="N930">
        <v>5</v>
      </c>
      <c r="O930" t="str">
        <f t="shared" si="14"/>
        <v>Extended</v>
      </c>
    </row>
    <row r="931" spans="1:15" x14ac:dyDescent="0.3">
      <c r="A931" t="s">
        <v>1901</v>
      </c>
      <c r="B931" t="s">
        <v>1902</v>
      </c>
      <c r="C931">
        <v>63</v>
      </c>
      <c r="D931" t="s">
        <v>16</v>
      </c>
      <c r="E931" s="1">
        <v>45612</v>
      </c>
      <c r="F931" s="1">
        <v>45622</v>
      </c>
      <c r="G931" t="s">
        <v>43</v>
      </c>
      <c r="H931" t="s">
        <v>18</v>
      </c>
      <c r="I931">
        <v>9298</v>
      </c>
      <c r="J931" t="s">
        <v>19</v>
      </c>
      <c r="K931" t="s">
        <v>54</v>
      </c>
      <c r="L931" t="s">
        <v>78</v>
      </c>
      <c r="M931" t="s">
        <v>50</v>
      </c>
      <c r="N931">
        <v>10</v>
      </c>
      <c r="O931" t="str">
        <f t="shared" si="14"/>
        <v>Extended</v>
      </c>
    </row>
    <row r="932" spans="1:15" x14ac:dyDescent="0.3">
      <c r="A932" t="s">
        <v>1903</v>
      </c>
      <c r="B932" t="s">
        <v>1904</v>
      </c>
      <c r="C932">
        <v>15</v>
      </c>
      <c r="D932" t="s">
        <v>25</v>
      </c>
      <c r="E932" s="1">
        <v>45734</v>
      </c>
      <c r="F932" s="1">
        <v>45743</v>
      </c>
      <c r="G932" t="s">
        <v>43</v>
      </c>
      <c r="H932" t="s">
        <v>53</v>
      </c>
      <c r="I932">
        <v>6837</v>
      </c>
      <c r="J932" t="s">
        <v>19</v>
      </c>
      <c r="K932" t="s">
        <v>54</v>
      </c>
      <c r="L932" t="s">
        <v>21</v>
      </c>
      <c r="M932" t="s">
        <v>29</v>
      </c>
      <c r="N932">
        <v>9</v>
      </c>
      <c r="O932" t="str">
        <f t="shared" si="14"/>
        <v>Extended</v>
      </c>
    </row>
    <row r="933" spans="1:15" x14ac:dyDescent="0.3">
      <c r="A933" t="s">
        <v>1905</v>
      </c>
      <c r="B933" t="s">
        <v>1906</v>
      </c>
      <c r="C933">
        <v>84</v>
      </c>
      <c r="D933" t="s">
        <v>16</v>
      </c>
      <c r="E933" s="1">
        <v>45528</v>
      </c>
      <c r="F933" s="1">
        <v>45530</v>
      </c>
      <c r="G933" t="s">
        <v>94</v>
      </c>
      <c r="H933" t="s">
        <v>18</v>
      </c>
      <c r="I933">
        <v>8808</v>
      </c>
      <c r="J933" t="s">
        <v>19</v>
      </c>
      <c r="K933" t="s">
        <v>35</v>
      </c>
      <c r="L933" t="s">
        <v>28</v>
      </c>
      <c r="M933" t="s">
        <v>29</v>
      </c>
      <c r="N933">
        <v>2</v>
      </c>
      <c r="O933" t="str">
        <f t="shared" si="14"/>
        <v>Normal</v>
      </c>
    </row>
    <row r="934" spans="1:15" x14ac:dyDescent="0.3">
      <c r="A934" t="s">
        <v>1907</v>
      </c>
      <c r="B934" t="s">
        <v>1908</v>
      </c>
      <c r="C934">
        <v>39</v>
      </c>
      <c r="D934" t="s">
        <v>25</v>
      </c>
      <c r="E934" s="1">
        <v>45761</v>
      </c>
      <c r="F934" s="1">
        <v>45769</v>
      </c>
      <c r="G934" t="s">
        <v>32</v>
      </c>
      <c r="H934" t="s">
        <v>73</v>
      </c>
      <c r="I934">
        <v>2699</v>
      </c>
      <c r="J934" t="s">
        <v>19</v>
      </c>
      <c r="K934" t="s">
        <v>20</v>
      </c>
      <c r="L934" t="s">
        <v>45</v>
      </c>
      <c r="M934" t="s">
        <v>22</v>
      </c>
      <c r="N934">
        <v>8</v>
      </c>
      <c r="O934" t="str">
        <f t="shared" si="14"/>
        <v>Extended</v>
      </c>
    </row>
    <row r="935" spans="1:15" x14ac:dyDescent="0.3">
      <c r="A935" t="s">
        <v>1909</v>
      </c>
      <c r="B935" t="s">
        <v>1910</v>
      </c>
      <c r="C935">
        <v>78</v>
      </c>
      <c r="D935" t="s">
        <v>16</v>
      </c>
      <c r="E935" s="1">
        <v>45490</v>
      </c>
      <c r="F935" s="1">
        <v>45495</v>
      </c>
      <c r="G935" t="s">
        <v>32</v>
      </c>
      <c r="H935" t="s">
        <v>33</v>
      </c>
      <c r="I935">
        <v>3196</v>
      </c>
      <c r="J935" t="s">
        <v>19</v>
      </c>
      <c r="K935" t="s">
        <v>133</v>
      </c>
      <c r="L935" t="s">
        <v>21</v>
      </c>
      <c r="M935" t="s">
        <v>50</v>
      </c>
      <c r="N935">
        <v>5</v>
      </c>
      <c r="O935" t="str">
        <f t="shared" si="14"/>
        <v>Extended</v>
      </c>
    </row>
    <row r="936" spans="1:15" x14ac:dyDescent="0.3">
      <c r="A936" t="s">
        <v>1911</v>
      </c>
      <c r="B936" t="s">
        <v>1912</v>
      </c>
      <c r="C936">
        <v>80</v>
      </c>
      <c r="D936" t="s">
        <v>16</v>
      </c>
      <c r="E936" s="1">
        <v>45721</v>
      </c>
      <c r="F936" s="1">
        <v>45727</v>
      </c>
      <c r="G936" t="s">
        <v>17</v>
      </c>
      <c r="H936" t="s">
        <v>33</v>
      </c>
      <c r="I936">
        <v>3734</v>
      </c>
      <c r="J936" t="s">
        <v>34</v>
      </c>
      <c r="K936" t="s">
        <v>133</v>
      </c>
      <c r="L936" t="s">
        <v>45</v>
      </c>
      <c r="M936" t="s">
        <v>50</v>
      </c>
      <c r="N936">
        <v>6</v>
      </c>
      <c r="O936" t="str">
        <f t="shared" si="14"/>
        <v>Extended</v>
      </c>
    </row>
    <row r="937" spans="1:15" x14ac:dyDescent="0.3">
      <c r="A937" t="s">
        <v>1913</v>
      </c>
      <c r="B937" t="s">
        <v>1914</v>
      </c>
      <c r="C937">
        <v>54</v>
      </c>
      <c r="D937" t="s">
        <v>16</v>
      </c>
      <c r="E937" s="1">
        <v>45641</v>
      </c>
      <c r="F937" s="1">
        <v>45649</v>
      </c>
      <c r="G937" t="s">
        <v>66</v>
      </c>
      <c r="H937" t="s">
        <v>53</v>
      </c>
      <c r="I937">
        <v>9601</v>
      </c>
      <c r="J937" t="s">
        <v>34</v>
      </c>
      <c r="K937" t="s">
        <v>20</v>
      </c>
      <c r="L937" t="s">
        <v>36</v>
      </c>
      <c r="M937" t="s">
        <v>29</v>
      </c>
      <c r="N937">
        <v>8</v>
      </c>
      <c r="O937" t="str">
        <f t="shared" si="14"/>
        <v>Extended</v>
      </c>
    </row>
    <row r="938" spans="1:15" x14ac:dyDescent="0.3">
      <c r="A938" t="s">
        <v>1915</v>
      </c>
      <c r="B938" t="s">
        <v>1916</v>
      </c>
      <c r="C938">
        <v>74</v>
      </c>
      <c r="D938" t="s">
        <v>16</v>
      </c>
      <c r="E938" s="1">
        <v>45717</v>
      </c>
      <c r="F938" s="1">
        <v>45725</v>
      </c>
      <c r="G938" t="s">
        <v>26</v>
      </c>
      <c r="H938" t="s">
        <v>39</v>
      </c>
      <c r="I938">
        <v>7902</v>
      </c>
      <c r="J938" t="s">
        <v>34</v>
      </c>
      <c r="K938" t="s">
        <v>133</v>
      </c>
      <c r="L938" t="s">
        <v>36</v>
      </c>
      <c r="M938" t="s">
        <v>50</v>
      </c>
      <c r="N938">
        <v>8</v>
      </c>
      <c r="O938" t="str">
        <f t="shared" si="14"/>
        <v>Extended</v>
      </c>
    </row>
    <row r="939" spans="1:15" x14ac:dyDescent="0.3">
      <c r="A939" t="s">
        <v>1917</v>
      </c>
      <c r="B939" t="s">
        <v>1918</v>
      </c>
      <c r="C939">
        <v>10</v>
      </c>
      <c r="D939" t="s">
        <v>25</v>
      </c>
      <c r="E939" s="1">
        <v>45683</v>
      </c>
      <c r="F939" s="1">
        <v>45697</v>
      </c>
      <c r="G939" t="s">
        <v>66</v>
      </c>
      <c r="H939" t="s">
        <v>63</v>
      </c>
      <c r="I939">
        <v>8603</v>
      </c>
      <c r="J939" t="s">
        <v>34</v>
      </c>
      <c r="K939" t="s">
        <v>20</v>
      </c>
      <c r="L939" t="s">
        <v>59</v>
      </c>
      <c r="M939" t="s">
        <v>29</v>
      </c>
      <c r="N939">
        <v>14</v>
      </c>
      <c r="O939" t="str">
        <f t="shared" si="14"/>
        <v>Extended</v>
      </c>
    </row>
    <row r="940" spans="1:15" x14ac:dyDescent="0.3">
      <c r="A940" t="s">
        <v>1919</v>
      </c>
      <c r="B940" t="s">
        <v>1920</v>
      </c>
      <c r="C940">
        <v>84</v>
      </c>
      <c r="D940" t="s">
        <v>25</v>
      </c>
      <c r="E940" s="1">
        <v>45629</v>
      </c>
      <c r="F940" s="1">
        <v>45639</v>
      </c>
      <c r="G940" t="s">
        <v>66</v>
      </c>
      <c r="H940" t="s">
        <v>58</v>
      </c>
      <c r="I940">
        <v>6139</v>
      </c>
      <c r="J940" t="s">
        <v>34</v>
      </c>
      <c r="K940" t="s">
        <v>54</v>
      </c>
      <c r="L940" t="s">
        <v>21</v>
      </c>
      <c r="M940" t="s">
        <v>50</v>
      </c>
      <c r="N940">
        <v>10</v>
      </c>
      <c r="O940" t="str">
        <f t="shared" si="14"/>
        <v>Extended</v>
      </c>
    </row>
    <row r="941" spans="1:15" x14ac:dyDescent="0.3">
      <c r="A941" t="s">
        <v>1921</v>
      </c>
      <c r="B941" t="s">
        <v>1922</v>
      </c>
      <c r="C941">
        <v>18</v>
      </c>
      <c r="D941" t="s">
        <v>25</v>
      </c>
      <c r="E941" s="1">
        <v>45788</v>
      </c>
      <c r="F941" s="1">
        <v>45794</v>
      </c>
      <c r="G941" t="s">
        <v>17</v>
      </c>
      <c r="H941" t="s">
        <v>27</v>
      </c>
      <c r="I941">
        <v>4412</v>
      </c>
      <c r="J941" t="s">
        <v>34</v>
      </c>
      <c r="K941" t="s">
        <v>54</v>
      </c>
      <c r="L941" t="s">
        <v>28</v>
      </c>
      <c r="M941" t="s">
        <v>50</v>
      </c>
      <c r="N941">
        <v>6</v>
      </c>
      <c r="O941" t="str">
        <f t="shared" si="14"/>
        <v>Extended</v>
      </c>
    </row>
    <row r="942" spans="1:15" x14ac:dyDescent="0.3">
      <c r="A942" t="s">
        <v>1923</v>
      </c>
      <c r="B942" t="s">
        <v>1924</v>
      </c>
      <c r="C942">
        <v>11</v>
      </c>
      <c r="D942" t="s">
        <v>16</v>
      </c>
      <c r="E942" s="1">
        <v>45525</v>
      </c>
      <c r="F942" s="1">
        <v>45534</v>
      </c>
      <c r="G942" t="s">
        <v>94</v>
      </c>
      <c r="H942" t="s">
        <v>33</v>
      </c>
      <c r="I942">
        <v>1155</v>
      </c>
      <c r="J942" t="s">
        <v>19</v>
      </c>
      <c r="K942" t="s">
        <v>44</v>
      </c>
      <c r="L942" t="s">
        <v>59</v>
      </c>
      <c r="M942" t="s">
        <v>29</v>
      </c>
      <c r="N942">
        <v>9</v>
      </c>
      <c r="O942" t="str">
        <f t="shared" si="14"/>
        <v>Extended</v>
      </c>
    </row>
    <row r="943" spans="1:15" x14ac:dyDescent="0.3">
      <c r="A943" t="s">
        <v>1925</v>
      </c>
      <c r="B943" t="s">
        <v>1926</v>
      </c>
      <c r="C943">
        <v>11</v>
      </c>
      <c r="D943" t="s">
        <v>16</v>
      </c>
      <c r="E943" s="1">
        <v>45482</v>
      </c>
      <c r="F943" s="1">
        <v>45495</v>
      </c>
      <c r="G943" t="s">
        <v>43</v>
      </c>
      <c r="H943" t="s">
        <v>18</v>
      </c>
      <c r="I943">
        <v>5504</v>
      </c>
      <c r="J943" t="s">
        <v>34</v>
      </c>
      <c r="K943" t="s">
        <v>49</v>
      </c>
      <c r="L943" t="s">
        <v>78</v>
      </c>
      <c r="M943" t="s">
        <v>29</v>
      </c>
      <c r="N943">
        <v>13</v>
      </c>
      <c r="O943" t="str">
        <f t="shared" si="14"/>
        <v>Extended</v>
      </c>
    </row>
    <row r="944" spans="1:15" x14ac:dyDescent="0.3">
      <c r="A944" t="s">
        <v>1927</v>
      </c>
      <c r="B944" t="s">
        <v>1928</v>
      </c>
      <c r="C944">
        <v>69</v>
      </c>
      <c r="D944" t="s">
        <v>25</v>
      </c>
      <c r="E944" s="1">
        <v>45701</v>
      </c>
      <c r="F944" s="1">
        <v>45702</v>
      </c>
      <c r="G944" t="s">
        <v>94</v>
      </c>
      <c r="H944" t="s">
        <v>39</v>
      </c>
      <c r="I944">
        <v>7273</v>
      </c>
      <c r="J944" t="s">
        <v>19</v>
      </c>
      <c r="K944" t="s">
        <v>133</v>
      </c>
      <c r="L944" t="s">
        <v>21</v>
      </c>
      <c r="M944" t="s">
        <v>50</v>
      </c>
      <c r="N944">
        <v>1</v>
      </c>
      <c r="O944" t="str">
        <f t="shared" si="14"/>
        <v>Normal</v>
      </c>
    </row>
    <row r="945" spans="1:15" x14ac:dyDescent="0.3">
      <c r="A945" t="s">
        <v>1929</v>
      </c>
      <c r="B945" t="s">
        <v>1930</v>
      </c>
      <c r="C945">
        <v>67</v>
      </c>
      <c r="D945" t="s">
        <v>16</v>
      </c>
      <c r="E945" s="1">
        <v>45527</v>
      </c>
      <c r="F945" s="1">
        <v>45532</v>
      </c>
      <c r="G945" t="s">
        <v>32</v>
      </c>
      <c r="H945" t="s">
        <v>89</v>
      </c>
      <c r="I945">
        <v>8390</v>
      </c>
      <c r="J945" t="s">
        <v>34</v>
      </c>
      <c r="K945" t="s">
        <v>54</v>
      </c>
      <c r="L945" t="s">
        <v>45</v>
      </c>
      <c r="M945" t="s">
        <v>50</v>
      </c>
      <c r="N945">
        <v>5</v>
      </c>
      <c r="O945" t="str">
        <f t="shared" si="14"/>
        <v>Extended</v>
      </c>
    </row>
    <row r="946" spans="1:15" x14ac:dyDescent="0.3">
      <c r="A946" t="s">
        <v>1931</v>
      </c>
      <c r="B946" t="s">
        <v>1932</v>
      </c>
      <c r="C946">
        <v>49</v>
      </c>
      <c r="D946" t="s">
        <v>16</v>
      </c>
      <c r="E946" s="1">
        <v>45720</v>
      </c>
      <c r="F946" s="1">
        <v>45733</v>
      </c>
      <c r="G946" t="s">
        <v>94</v>
      </c>
      <c r="H946" t="s">
        <v>58</v>
      </c>
      <c r="I946">
        <v>3340</v>
      </c>
      <c r="J946" t="s">
        <v>19</v>
      </c>
      <c r="K946" t="s">
        <v>49</v>
      </c>
      <c r="L946" t="s">
        <v>78</v>
      </c>
      <c r="M946" t="s">
        <v>29</v>
      </c>
      <c r="N946">
        <v>13</v>
      </c>
      <c r="O946" t="str">
        <f t="shared" si="14"/>
        <v>Extended</v>
      </c>
    </row>
    <row r="947" spans="1:15" x14ac:dyDescent="0.3">
      <c r="A947" t="s">
        <v>1933</v>
      </c>
      <c r="B947" t="s">
        <v>1934</v>
      </c>
      <c r="C947">
        <v>56</v>
      </c>
      <c r="D947" t="s">
        <v>16</v>
      </c>
      <c r="E947" s="1">
        <v>45469</v>
      </c>
      <c r="F947" s="1">
        <v>45478</v>
      </c>
      <c r="G947" t="s">
        <v>43</v>
      </c>
      <c r="H947" t="s">
        <v>89</v>
      </c>
      <c r="I947">
        <v>8951</v>
      </c>
      <c r="J947" t="s">
        <v>34</v>
      </c>
      <c r="K947" t="s">
        <v>54</v>
      </c>
      <c r="L947" t="s">
        <v>36</v>
      </c>
      <c r="M947" t="s">
        <v>22</v>
      </c>
      <c r="N947">
        <v>9</v>
      </c>
      <c r="O947" t="str">
        <f t="shared" si="14"/>
        <v>Extended</v>
      </c>
    </row>
    <row r="948" spans="1:15" x14ac:dyDescent="0.3">
      <c r="A948" t="s">
        <v>1935</v>
      </c>
      <c r="B948" t="s">
        <v>1936</v>
      </c>
      <c r="C948">
        <v>49</v>
      </c>
      <c r="D948" t="s">
        <v>25</v>
      </c>
      <c r="E948" s="1">
        <v>45552</v>
      </c>
      <c r="F948" s="1">
        <v>45565</v>
      </c>
      <c r="G948" t="s">
        <v>94</v>
      </c>
      <c r="H948" t="s">
        <v>53</v>
      </c>
      <c r="I948">
        <v>8739</v>
      </c>
      <c r="J948" t="s">
        <v>34</v>
      </c>
      <c r="K948" t="s">
        <v>35</v>
      </c>
      <c r="L948" t="s">
        <v>21</v>
      </c>
      <c r="M948" t="s">
        <v>22</v>
      </c>
      <c r="N948">
        <v>13</v>
      </c>
      <c r="O948" t="str">
        <f t="shared" si="14"/>
        <v>Extended</v>
      </c>
    </row>
    <row r="949" spans="1:15" x14ac:dyDescent="0.3">
      <c r="A949" t="s">
        <v>1937</v>
      </c>
      <c r="B949" t="s">
        <v>1938</v>
      </c>
      <c r="C949">
        <v>44</v>
      </c>
      <c r="D949" t="s">
        <v>25</v>
      </c>
      <c r="E949" s="1">
        <v>45705</v>
      </c>
      <c r="F949" s="1">
        <v>45714</v>
      </c>
      <c r="G949" t="s">
        <v>26</v>
      </c>
      <c r="H949" t="s">
        <v>63</v>
      </c>
      <c r="I949">
        <v>8932</v>
      </c>
      <c r="J949" t="s">
        <v>34</v>
      </c>
      <c r="K949" t="s">
        <v>49</v>
      </c>
      <c r="L949" t="s">
        <v>21</v>
      </c>
      <c r="M949" t="s">
        <v>29</v>
      </c>
      <c r="N949">
        <v>9</v>
      </c>
      <c r="O949" t="str">
        <f t="shared" si="14"/>
        <v>Extended</v>
      </c>
    </row>
    <row r="950" spans="1:15" x14ac:dyDescent="0.3">
      <c r="A950" t="s">
        <v>1939</v>
      </c>
      <c r="B950" t="s">
        <v>1940</v>
      </c>
      <c r="C950">
        <v>59</v>
      </c>
      <c r="D950" t="s">
        <v>16</v>
      </c>
      <c r="E950" s="1">
        <v>45689</v>
      </c>
      <c r="F950" s="1">
        <v>45691</v>
      </c>
      <c r="G950" t="s">
        <v>94</v>
      </c>
      <c r="H950" t="s">
        <v>48</v>
      </c>
      <c r="I950">
        <v>9442</v>
      </c>
      <c r="J950" t="s">
        <v>19</v>
      </c>
      <c r="K950" t="s">
        <v>40</v>
      </c>
      <c r="L950" t="s">
        <v>78</v>
      </c>
      <c r="M950" t="s">
        <v>29</v>
      </c>
      <c r="N950">
        <v>2</v>
      </c>
      <c r="O950" t="str">
        <f t="shared" si="14"/>
        <v>Normal</v>
      </c>
    </row>
    <row r="951" spans="1:15" x14ac:dyDescent="0.3">
      <c r="A951" t="s">
        <v>1941</v>
      </c>
      <c r="B951" t="s">
        <v>1942</v>
      </c>
      <c r="C951">
        <v>70</v>
      </c>
      <c r="D951" t="s">
        <v>16</v>
      </c>
      <c r="E951" s="1">
        <v>45645</v>
      </c>
      <c r="F951" s="1">
        <v>45649</v>
      </c>
      <c r="G951" t="s">
        <v>66</v>
      </c>
      <c r="H951" t="s">
        <v>33</v>
      </c>
      <c r="I951">
        <v>1668</v>
      </c>
      <c r="J951" t="s">
        <v>34</v>
      </c>
      <c r="K951" t="s">
        <v>35</v>
      </c>
      <c r="L951" t="s">
        <v>36</v>
      </c>
      <c r="M951" t="s">
        <v>29</v>
      </c>
      <c r="N951">
        <v>4</v>
      </c>
      <c r="O951" t="str">
        <f t="shared" si="14"/>
        <v>Extended</v>
      </c>
    </row>
    <row r="952" spans="1:15" x14ac:dyDescent="0.3">
      <c r="A952" t="s">
        <v>1943</v>
      </c>
      <c r="B952" t="s">
        <v>1944</v>
      </c>
      <c r="C952">
        <v>72</v>
      </c>
      <c r="D952" t="s">
        <v>25</v>
      </c>
      <c r="E952" s="1">
        <v>45727</v>
      </c>
      <c r="F952" s="1">
        <v>45737</v>
      </c>
      <c r="G952" t="s">
        <v>17</v>
      </c>
      <c r="H952" t="s">
        <v>89</v>
      </c>
      <c r="I952">
        <v>4095</v>
      </c>
      <c r="J952" t="s">
        <v>19</v>
      </c>
      <c r="K952" t="s">
        <v>20</v>
      </c>
      <c r="L952" t="s">
        <v>78</v>
      </c>
      <c r="M952" t="s">
        <v>50</v>
      </c>
      <c r="N952">
        <v>10</v>
      </c>
      <c r="O952" t="str">
        <f t="shared" si="14"/>
        <v>Extended</v>
      </c>
    </row>
    <row r="953" spans="1:15" x14ac:dyDescent="0.3">
      <c r="A953" t="s">
        <v>1945</v>
      </c>
      <c r="B953" t="s">
        <v>1946</v>
      </c>
      <c r="C953">
        <v>27</v>
      </c>
      <c r="D953" t="s">
        <v>25</v>
      </c>
      <c r="E953" s="1">
        <v>45548</v>
      </c>
      <c r="F953" s="1">
        <v>45555</v>
      </c>
      <c r="G953" t="s">
        <v>94</v>
      </c>
      <c r="H953" t="s">
        <v>27</v>
      </c>
      <c r="I953">
        <v>8232</v>
      </c>
      <c r="J953" t="s">
        <v>19</v>
      </c>
      <c r="K953" t="s">
        <v>133</v>
      </c>
      <c r="L953" t="s">
        <v>21</v>
      </c>
      <c r="M953" t="s">
        <v>50</v>
      </c>
      <c r="N953">
        <v>7</v>
      </c>
      <c r="O953" t="str">
        <f t="shared" si="14"/>
        <v>Extended</v>
      </c>
    </row>
    <row r="954" spans="1:15" x14ac:dyDescent="0.3">
      <c r="A954" t="s">
        <v>1947</v>
      </c>
      <c r="B954" t="s">
        <v>1948</v>
      </c>
      <c r="C954">
        <v>57</v>
      </c>
      <c r="D954" t="s">
        <v>25</v>
      </c>
      <c r="E954" s="1">
        <v>45444</v>
      </c>
      <c r="F954" s="1">
        <v>45452</v>
      </c>
      <c r="G954" t="s">
        <v>66</v>
      </c>
      <c r="H954" t="s">
        <v>73</v>
      </c>
      <c r="I954">
        <v>4801</v>
      </c>
      <c r="J954" t="s">
        <v>34</v>
      </c>
      <c r="K954" t="s">
        <v>20</v>
      </c>
      <c r="L954" t="s">
        <v>59</v>
      </c>
      <c r="M954" t="s">
        <v>29</v>
      </c>
      <c r="N954">
        <v>8</v>
      </c>
      <c r="O954" t="str">
        <f t="shared" si="14"/>
        <v>Extended</v>
      </c>
    </row>
    <row r="955" spans="1:15" x14ac:dyDescent="0.3">
      <c r="A955" t="s">
        <v>1949</v>
      </c>
      <c r="B955" t="s">
        <v>1950</v>
      </c>
      <c r="C955">
        <v>17</v>
      </c>
      <c r="D955" t="s">
        <v>16</v>
      </c>
      <c r="E955" s="1">
        <v>45715</v>
      </c>
      <c r="F955" s="1">
        <v>45716</v>
      </c>
      <c r="G955" t="s">
        <v>66</v>
      </c>
      <c r="H955" t="s">
        <v>63</v>
      </c>
      <c r="I955">
        <v>5102</v>
      </c>
      <c r="J955" t="s">
        <v>19</v>
      </c>
      <c r="K955" t="s">
        <v>40</v>
      </c>
      <c r="L955" t="s">
        <v>55</v>
      </c>
      <c r="M955" t="s">
        <v>50</v>
      </c>
      <c r="N955">
        <v>1</v>
      </c>
      <c r="O955" t="str">
        <f t="shared" si="14"/>
        <v>Normal</v>
      </c>
    </row>
    <row r="956" spans="1:15" x14ac:dyDescent="0.3">
      <c r="A956" t="s">
        <v>1951</v>
      </c>
      <c r="B956" t="s">
        <v>1952</v>
      </c>
      <c r="C956">
        <v>63</v>
      </c>
      <c r="D956" t="s">
        <v>25</v>
      </c>
      <c r="E956" s="1">
        <v>45485</v>
      </c>
      <c r="F956" s="1">
        <v>45498</v>
      </c>
      <c r="G956" t="s">
        <v>66</v>
      </c>
      <c r="H956" t="s">
        <v>27</v>
      </c>
      <c r="I956">
        <v>1612</v>
      </c>
      <c r="J956" t="s">
        <v>19</v>
      </c>
      <c r="K956" t="s">
        <v>133</v>
      </c>
      <c r="L956" t="s">
        <v>28</v>
      </c>
      <c r="M956" t="s">
        <v>50</v>
      </c>
      <c r="N956">
        <v>13</v>
      </c>
      <c r="O956" t="str">
        <f t="shared" si="14"/>
        <v>Extended</v>
      </c>
    </row>
    <row r="957" spans="1:15" x14ac:dyDescent="0.3">
      <c r="A957" t="s">
        <v>1953</v>
      </c>
      <c r="B957" t="s">
        <v>1954</v>
      </c>
      <c r="C957">
        <v>62</v>
      </c>
      <c r="D957" t="s">
        <v>25</v>
      </c>
      <c r="E957" s="1">
        <v>45510</v>
      </c>
      <c r="F957" s="1">
        <v>45513</v>
      </c>
      <c r="G957" t="s">
        <v>26</v>
      </c>
      <c r="H957" t="s">
        <v>48</v>
      </c>
      <c r="I957">
        <v>4319</v>
      </c>
      <c r="J957" t="s">
        <v>34</v>
      </c>
      <c r="K957" t="s">
        <v>49</v>
      </c>
      <c r="L957" t="s">
        <v>28</v>
      </c>
      <c r="M957" t="s">
        <v>50</v>
      </c>
      <c r="N957">
        <v>3</v>
      </c>
      <c r="O957" t="str">
        <f t="shared" si="14"/>
        <v>Normal</v>
      </c>
    </row>
    <row r="958" spans="1:15" x14ac:dyDescent="0.3">
      <c r="A958" t="s">
        <v>1955</v>
      </c>
      <c r="B958" t="s">
        <v>1956</v>
      </c>
      <c r="C958">
        <v>13</v>
      </c>
      <c r="D958" t="s">
        <v>25</v>
      </c>
      <c r="E958" s="1">
        <v>45469</v>
      </c>
      <c r="F958" s="1">
        <v>45479</v>
      </c>
      <c r="G958" t="s">
        <v>17</v>
      </c>
      <c r="H958" t="s">
        <v>33</v>
      </c>
      <c r="I958">
        <v>5767</v>
      </c>
      <c r="J958" t="s">
        <v>34</v>
      </c>
      <c r="K958" t="s">
        <v>49</v>
      </c>
      <c r="L958" t="s">
        <v>78</v>
      </c>
      <c r="M958" t="s">
        <v>50</v>
      </c>
      <c r="N958">
        <v>10</v>
      </c>
      <c r="O958" t="str">
        <f t="shared" si="14"/>
        <v>Extended</v>
      </c>
    </row>
    <row r="959" spans="1:15" x14ac:dyDescent="0.3">
      <c r="A959" t="s">
        <v>1957</v>
      </c>
      <c r="B959" t="s">
        <v>1958</v>
      </c>
      <c r="C959">
        <v>11</v>
      </c>
      <c r="D959" t="s">
        <v>16</v>
      </c>
      <c r="E959" s="1">
        <v>45513</v>
      </c>
      <c r="F959" s="1">
        <v>45521</v>
      </c>
      <c r="G959" t="s">
        <v>32</v>
      </c>
      <c r="H959" t="s">
        <v>53</v>
      </c>
      <c r="I959">
        <v>9219</v>
      </c>
      <c r="J959" t="s">
        <v>19</v>
      </c>
      <c r="K959" t="s">
        <v>35</v>
      </c>
      <c r="L959" t="s">
        <v>45</v>
      </c>
      <c r="M959" t="s">
        <v>29</v>
      </c>
      <c r="N959">
        <v>8</v>
      </c>
      <c r="O959" t="str">
        <f t="shared" si="14"/>
        <v>Extended</v>
      </c>
    </row>
    <row r="960" spans="1:15" x14ac:dyDescent="0.3">
      <c r="A960" t="s">
        <v>1959</v>
      </c>
      <c r="B960" t="s">
        <v>1960</v>
      </c>
      <c r="C960">
        <v>32</v>
      </c>
      <c r="D960" t="s">
        <v>16</v>
      </c>
      <c r="E960" s="1">
        <v>45515</v>
      </c>
      <c r="F960" s="1">
        <v>45529</v>
      </c>
      <c r="G960" t="s">
        <v>62</v>
      </c>
      <c r="H960" t="s">
        <v>33</v>
      </c>
      <c r="I960">
        <v>7024</v>
      </c>
      <c r="J960" t="s">
        <v>34</v>
      </c>
      <c r="K960" t="s">
        <v>133</v>
      </c>
      <c r="L960" t="s">
        <v>28</v>
      </c>
      <c r="M960" t="s">
        <v>50</v>
      </c>
      <c r="N960">
        <v>14</v>
      </c>
      <c r="O960" t="str">
        <f t="shared" si="14"/>
        <v>Extended</v>
      </c>
    </row>
    <row r="961" spans="1:15" x14ac:dyDescent="0.3">
      <c r="A961" t="s">
        <v>1961</v>
      </c>
      <c r="B961" t="s">
        <v>1962</v>
      </c>
      <c r="C961">
        <v>41</v>
      </c>
      <c r="D961" t="s">
        <v>16</v>
      </c>
      <c r="E961" s="1">
        <v>45684</v>
      </c>
      <c r="F961" s="1">
        <v>45688</v>
      </c>
      <c r="G961" t="s">
        <v>17</v>
      </c>
      <c r="H961" t="s">
        <v>39</v>
      </c>
      <c r="I961">
        <v>9542</v>
      </c>
      <c r="J961" t="s">
        <v>34</v>
      </c>
      <c r="K961" t="s">
        <v>133</v>
      </c>
      <c r="L961" t="s">
        <v>21</v>
      </c>
      <c r="M961" t="s">
        <v>22</v>
      </c>
      <c r="N961">
        <v>4</v>
      </c>
      <c r="O961" t="str">
        <f t="shared" si="14"/>
        <v>Extended</v>
      </c>
    </row>
    <row r="962" spans="1:15" x14ac:dyDescent="0.3">
      <c r="A962" t="s">
        <v>1963</v>
      </c>
      <c r="B962" t="s">
        <v>1964</v>
      </c>
      <c r="C962">
        <v>21</v>
      </c>
      <c r="D962" t="s">
        <v>25</v>
      </c>
      <c r="E962" s="1">
        <v>45617</v>
      </c>
      <c r="F962" s="1">
        <v>45629</v>
      </c>
      <c r="G962" t="s">
        <v>94</v>
      </c>
      <c r="H962" t="s">
        <v>63</v>
      </c>
      <c r="I962">
        <v>1597</v>
      </c>
      <c r="J962" t="s">
        <v>19</v>
      </c>
      <c r="K962" t="s">
        <v>49</v>
      </c>
      <c r="L962" t="s">
        <v>21</v>
      </c>
      <c r="M962" t="s">
        <v>22</v>
      </c>
      <c r="N962">
        <v>12</v>
      </c>
      <c r="O962" t="str">
        <f t="shared" si="14"/>
        <v>Extended</v>
      </c>
    </row>
    <row r="963" spans="1:15" x14ac:dyDescent="0.3">
      <c r="A963" t="s">
        <v>1965</v>
      </c>
      <c r="B963" t="s">
        <v>1966</v>
      </c>
      <c r="C963">
        <v>13</v>
      </c>
      <c r="D963" t="s">
        <v>25</v>
      </c>
      <c r="E963" s="1">
        <v>45657</v>
      </c>
      <c r="F963" s="1">
        <v>45671</v>
      </c>
      <c r="G963" t="s">
        <v>43</v>
      </c>
      <c r="H963" t="s">
        <v>73</v>
      </c>
      <c r="I963">
        <v>7942</v>
      </c>
      <c r="J963" t="s">
        <v>34</v>
      </c>
      <c r="K963" t="s">
        <v>133</v>
      </c>
      <c r="L963" t="s">
        <v>55</v>
      </c>
      <c r="M963" t="s">
        <v>50</v>
      </c>
      <c r="N963">
        <v>14</v>
      </c>
      <c r="O963" t="str">
        <f t="shared" ref="O963:O1001" si="15">IF(N963&gt;3,"Extended","Normal")</f>
        <v>Extended</v>
      </c>
    </row>
    <row r="964" spans="1:15" x14ac:dyDescent="0.3">
      <c r="A964" t="s">
        <v>1967</v>
      </c>
      <c r="B964" t="s">
        <v>1968</v>
      </c>
      <c r="C964">
        <v>4</v>
      </c>
      <c r="D964" t="s">
        <v>25</v>
      </c>
      <c r="E964" s="1">
        <v>45559</v>
      </c>
      <c r="F964" s="1">
        <v>45565</v>
      </c>
      <c r="G964" t="s">
        <v>26</v>
      </c>
      <c r="H964" t="s">
        <v>39</v>
      </c>
      <c r="I964">
        <v>6880</v>
      </c>
      <c r="J964" t="s">
        <v>34</v>
      </c>
      <c r="K964" t="s">
        <v>35</v>
      </c>
      <c r="L964" t="s">
        <v>59</v>
      </c>
      <c r="M964" t="s">
        <v>22</v>
      </c>
      <c r="N964">
        <v>6</v>
      </c>
      <c r="O964" t="str">
        <f t="shared" si="15"/>
        <v>Extended</v>
      </c>
    </row>
    <row r="965" spans="1:15" x14ac:dyDescent="0.3">
      <c r="A965" t="s">
        <v>1969</v>
      </c>
      <c r="B965" t="s">
        <v>1970</v>
      </c>
      <c r="C965">
        <v>68</v>
      </c>
      <c r="D965" t="s">
        <v>25</v>
      </c>
      <c r="E965" s="1">
        <v>45541</v>
      </c>
      <c r="F965" s="1">
        <v>45547</v>
      </c>
      <c r="G965" t="s">
        <v>94</v>
      </c>
      <c r="H965" t="s">
        <v>73</v>
      </c>
      <c r="I965">
        <v>5681</v>
      </c>
      <c r="J965" t="s">
        <v>34</v>
      </c>
      <c r="K965" t="s">
        <v>54</v>
      </c>
      <c r="L965" t="s">
        <v>78</v>
      </c>
      <c r="M965" t="s">
        <v>22</v>
      </c>
      <c r="N965">
        <v>6</v>
      </c>
      <c r="O965" t="str">
        <f t="shared" si="15"/>
        <v>Extended</v>
      </c>
    </row>
    <row r="966" spans="1:15" x14ac:dyDescent="0.3">
      <c r="A966" t="s">
        <v>1971</v>
      </c>
      <c r="B966" t="s">
        <v>1972</v>
      </c>
      <c r="C966">
        <v>30</v>
      </c>
      <c r="D966" t="s">
        <v>16</v>
      </c>
      <c r="E966" s="1">
        <v>45666</v>
      </c>
      <c r="F966" s="1">
        <v>45678</v>
      </c>
      <c r="G966" t="s">
        <v>43</v>
      </c>
      <c r="H966" t="s">
        <v>48</v>
      </c>
      <c r="I966">
        <v>2356</v>
      </c>
      <c r="J966" t="s">
        <v>19</v>
      </c>
      <c r="K966" t="s">
        <v>49</v>
      </c>
      <c r="L966" t="s">
        <v>21</v>
      </c>
      <c r="M966" t="s">
        <v>29</v>
      </c>
      <c r="N966">
        <v>12</v>
      </c>
      <c r="O966" t="str">
        <f t="shared" si="15"/>
        <v>Extended</v>
      </c>
    </row>
    <row r="967" spans="1:15" x14ac:dyDescent="0.3">
      <c r="A967" t="s">
        <v>1973</v>
      </c>
      <c r="B967" t="s">
        <v>1974</v>
      </c>
      <c r="C967">
        <v>85</v>
      </c>
      <c r="D967" t="s">
        <v>25</v>
      </c>
      <c r="E967" s="1">
        <v>45630</v>
      </c>
      <c r="F967" s="1">
        <v>45631</v>
      </c>
      <c r="G967" t="s">
        <v>26</v>
      </c>
      <c r="H967" t="s">
        <v>58</v>
      </c>
      <c r="I967">
        <v>1834</v>
      </c>
      <c r="J967" t="s">
        <v>34</v>
      </c>
      <c r="K967" t="s">
        <v>40</v>
      </c>
      <c r="L967" t="s">
        <v>59</v>
      </c>
      <c r="M967" t="s">
        <v>22</v>
      </c>
      <c r="N967">
        <v>1</v>
      </c>
      <c r="O967" t="str">
        <f t="shared" si="15"/>
        <v>Normal</v>
      </c>
    </row>
    <row r="968" spans="1:15" x14ac:dyDescent="0.3">
      <c r="A968" t="s">
        <v>1975</v>
      </c>
      <c r="B968" t="s">
        <v>1976</v>
      </c>
      <c r="C968">
        <v>8</v>
      </c>
      <c r="D968" t="s">
        <v>16</v>
      </c>
      <c r="E968" s="1">
        <v>45719</v>
      </c>
      <c r="F968" s="1">
        <v>45721</v>
      </c>
      <c r="G968" t="s">
        <v>17</v>
      </c>
      <c r="H968" t="s">
        <v>63</v>
      </c>
      <c r="I968">
        <v>8434</v>
      </c>
      <c r="J968" t="s">
        <v>19</v>
      </c>
      <c r="K968" t="s">
        <v>133</v>
      </c>
      <c r="L968" t="s">
        <v>55</v>
      </c>
      <c r="M968" t="s">
        <v>29</v>
      </c>
      <c r="N968">
        <v>2</v>
      </c>
      <c r="O968" t="str">
        <f t="shared" si="15"/>
        <v>Normal</v>
      </c>
    </row>
    <row r="969" spans="1:15" x14ac:dyDescent="0.3">
      <c r="A969" t="s">
        <v>1977</v>
      </c>
      <c r="B969" t="s">
        <v>1978</v>
      </c>
      <c r="C969">
        <v>64</v>
      </c>
      <c r="D969" t="s">
        <v>16</v>
      </c>
      <c r="E969" s="1">
        <v>45776</v>
      </c>
      <c r="F969" s="1">
        <v>45789</v>
      </c>
      <c r="G969" t="s">
        <v>66</v>
      </c>
      <c r="H969" t="s">
        <v>18</v>
      </c>
      <c r="I969">
        <v>1161</v>
      </c>
      <c r="J969" t="s">
        <v>19</v>
      </c>
      <c r="K969" t="s">
        <v>20</v>
      </c>
      <c r="L969" t="s">
        <v>36</v>
      </c>
      <c r="M969" t="s">
        <v>22</v>
      </c>
      <c r="N969">
        <v>13</v>
      </c>
      <c r="O969" t="str">
        <f t="shared" si="15"/>
        <v>Extended</v>
      </c>
    </row>
    <row r="970" spans="1:15" x14ac:dyDescent="0.3">
      <c r="A970" t="s">
        <v>1979</v>
      </c>
      <c r="B970" t="s">
        <v>1980</v>
      </c>
      <c r="C970">
        <v>84</v>
      </c>
      <c r="D970" t="s">
        <v>25</v>
      </c>
      <c r="E970" s="1">
        <v>45577</v>
      </c>
      <c r="F970" s="1">
        <v>45586</v>
      </c>
      <c r="G970" t="s">
        <v>43</v>
      </c>
      <c r="H970" t="s">
        <v>89</v>
      </c>
      <c r="I970">
        <v>4734</v>
      </c>
      <c r="J970" t="s">
        <v>34</v>
      </c>
      <c r="K970" t="s">
        <v>49</v>
      </c>
      <c r="L970" t="s">
        <v>45</v>
      </c>
      <c r="M970" t="s">
        <v>22</v>
      </c>
      <c r="N970">
        <v>9</v>
      </c>
      <c r="O970" t="str">
        <f t="shared" si="15"/>
        <v>Extended</v>
      </c>
    </row>
    <row r="971" spans="1:15" x14ac:dyDescent="0.3">
      <c r="A971" t="s">
        <v>1981</v>
      </c>
      <c r="B971" t="s">
        <v>1982</v>
      </c>
      <c r="C971">
        <v>56</v>
      </c>
      <c r="D971" t="s">
        <v>25</v>
      </c>
      <c r="E971" s="1">
        <v>45633</v>
      </c>
      <c r="F971" s="1">
        <v>45646</v>
      </c>
      <c r="G971" t="s">
        <v>94</v>
      </c>
      <c r="H971" t="s">
        <v>63</v>
      </c>
      <c r="I971">
        <v>6358</v>
      </c>
      <c r="J971" t="s">
        <v>34</v>
      </c>
      <c r="K971" t="s">
        <v>49</v>
      </c>
      <c r="L971" t="s">
        <v>36</v>
      </c>
      <c r="M971" t="s">
        <v>29</v>
      </c>
      <c r="N971">
        <v>13</v>
      </c>
      <c r="O971" t="str">
        <f t="shared" si="15"/>
        <v>Extended</v>
      </c>
    </row>
    <row r="972" spans="1:15" x14ac:dyDescent="0.3">
      <c r="A972" t="s">
        <v>1983</v>
      </c>
      <c r="B972" t="s">
        <v>1984</v>
      </c>
      <c r="C972">
        <v>21</v>
      </c>
      <c r="D972" t="s">
        <v>25</v>
      </c>
      <c r="E972" s="1">
        <v>45512</v>
      </c>
      <c r="F972" s="1">
        <v>45515</v>
      </c>
      <c r="G972" t="s">
        <v>26</v>
      </c>
      <c r="H972" t="s">
        <v>63</v>
      </c>
      <c r="I972">
        <v>9425</v>
      </c>
      <c r="J972" t="s">
        <v>19</v>
      </c>
      <c r="K972" t="s">
        <v>133</v>
      </c>
      <c r="L972" t="s">
        <v>28</v>
      </c>
      <c r="M972" t="s">
        <v>29</v>
      </c>
      <c r="N972">
        <v>3</v>
      </c>
      <c r="O972" t="str">
        <f t="shared" si="15"/>
        <v>Normal</v>
      </c>
    </row>
    <row r="973" spans="1:15" x14ac:dyDescent="0.3">
      <c r="A973" t="s">
        <v>1985</v>
      </c>
      <c r="B973" t="s">
        <v>1986</v>
      </c>
      <c r="C973">
        <v>4</v>
      </c>
      <c r="D973" t="s">
        <v>25</v>
      </c>
      <c r="E973" s="1">
        <v>45755</v>
      </c>
      <c r="F973" s="1">
        <v>45763</v>
      </c>
      <c r="G973" t="s">
        <v>32</v>
      </c>
      <c r="H973" t="s">
        <v>63</v>
      </c>
      <c r="I973">
        <v>8871</v>
      </c>
      <c r="J973" t="s">
        <v>34</v>
      </c>
      <c r="K973" t="s">
        <v>49</v>
      </c>
      <c r="L973" t="s">
        <v>78</v>
      </c>
      <c r="M973" t="s">
        <v>22</v>
      </c>
      <c r="N973">
        <v>8</v>
      </c>
      <c r="O973" t="str">
        <f t="shared" si="15"/>
        <v>Extended</v>
      </c>
    </row>
    <row r="974" spans="1:15" x14ac:dyDescent="0.3">
      <c r="A974" t="s">
        <v>1987</v>
      </c>
      <c r="B974" t="s">
        <v>1988</v>
      </c>
      <c r="C974">
        <v>76</v>
      </c>
      <c r="D974" t="s">
        <v>16</v>
      </c>
      <c r="E974" s="1">
        <v>45626</v>
      </c>
      <c r="F974" s="1">
        <v>45631</v>
      </c>
      <c r="G974" t="s">
        <v>94</v>
      </c>
      <c r="H974" t="s">
        <v>53</v>
      </c>
      <c r="I974">
        <v>5039</v>
      </c>
      <c r="J974" t="s">
        <v>19</v>
      </c>
      <c r="K974" t="s">
        <v>40</v>
      </c>
      <c r="L974" t="s">
        <v>28</v>
      </c>
      <c r="M974" t="s">
        <v>22</v>
      </c>
      <c r="N974">
        <v>5</v>
      </c>
      <c r="O974" t="str">
        <f t="shared" si="15"/>
        <v>Extended</v>
      </c>
    </row>
    <row r="975" spans="1:15" x14ac:dyDescent="0.3">
      <c r="A975" t="s">
        <v>1989</v>
      </c>
      <c r="B975" t="s">
        <v>1990</v>
      </c>
      <c r="C975">
        <v>90</v>
      </c>
      <c r="D975" t="s">
        <v>16</v>
      </c>
      <c r="E975" s="1">
        <v>45481</v>
      </c>
      <c r="F975" s="1">
        <v>45487</v>
      </c>
      <c r="G975" t="s">
        <v>94</v>
      </c>
      <c r="H975" t="s">
        <v>33</v>
      </c>
      <c r="I975">
        <v>1313</v>
      </c>
      <c r="J975" t="s">
        <v>19</v>
      </c>
      <c r="K975" t="s">
        <v>54</v>
      </c>
      <c r="L975" t="s">
        <v>59</v>
      </c>
      <c r="M975" t="s">
        <v>22</v>
      </c>
      <c r="N975">
        <v>6</v>
      </c>
      <c r="O975" t="str">
        <f t="shared" si="15"/>
        <v>Extended</v>
      </c>
    </row>
    <row r="976" spans="1:15" x14ac:dyDescent="0.3">
      <c r="A976" t="s">
        <v>1991</v>
      </c>
      <c r="B976" t="s">
        <v>1992</v>
      </c>
      <c r="C976">
        <v>17</v>
      </c>
      <c r="D976" t="s">
        <v>16</v>
      </c>
      <c r="E976" s="1">
        <v>45724</v>
      </c>
      <c r="F976" s="1">
        <v>45734</v>
      </c>
      <c r="G976" t="s">
        <v>26</v>
      </c>
      <c r="H976" t="s">
        <v>18</v>
      </c>
      <c r="I976">
        <v>2028</v>
      </c>
      <c r="J976" t="s">
        <v>34</v>
      </c>
      <c r="K976" t="s">
        <v>54</v>
      </c>
      <c r="L976" t="s">
        <v>36</v>
      </c>
      <c r="M976" t="s">
        <v>22</v>
      </c>
      <c r="N976">
        <v>10</v>
      </c>
      <c r="O976" t="str">
        <f t="shared" si="15"/>
        <v>Extended</v>
      </c>
    </row>
    <row r="977" spans="1:17" x14ac:dyDescent="0.3">
      <c r="A977" t="s">
        <v>1993</v>
      </c>
      <c r="B977" t="s">
        <v>1994</v>
      </c>
      <c r="C977">
        <v>18</v>
      </c>
      <c r="D977" t="s">
        <v>25</v>
      </c>
      <c r="E977" s="1">
        <v>45751</v>
      </c>
      <c r="F977" s="1">
        <v>45757</v>
      </c>
      <c r="G977" t="s">
        <v>66</v>
      </c>
      <c r="H977" t="s">
        <v>53</v>
      </c>
      <c r="I977">
        <v>6527</v>
      </c>
      <c r="J977" t="s">
        <v>34</v>
      </c>
      <c r="K977" t="s">
        <v>35</v>
      </c>
      <c r="L977" t="s">
        <v>28</v>
      </c>
      <c r="M977" t="s">
        <v>22</v>
      </c>
      <c r="N977">
        <v>6</v>
      </c>
      <c r="O977" t="str">
        <f t="shared" si="15"/>
        <v>Extended</v>
      </c>
    </row>
    <row r="978" spans="1:17" x14ac:dyDescent="0.3">
      <c r="A978" t="s">
        <v>1995</v>
      </c>
      <c r="B978" t="s">
        <v>1996</v>
      </c>
      <c r="C978">
        <v>68</v>
      </c>
      <c r="D978" t="s">
        <v>16</v>
      </c>
      <c r="E978" s="1">
        <v>45533</v>
      </c>
      <c r="F978" s="1">
        <v>45543</v>
      </c>
      <c r="G978" t="s">
        <v>32</v>
      </c>
      <c r="H978" t="s">
        <v>73</v>
      </c>
      <c r="I978">
        <v>4600</v>
      </c>
      <c r="J978" t="s">
        <v>19</v>
      </c>
      <c r="K978" t="s">
        <v>35</v>
      </c>
      <c r="L978" t="s">
        <v>45</v>
      </c>
      <c r="M978" t="s">
        <v>29</v>
      </c>
      <c r="N978">
        <v>10</v>
      </c>
      <c r="O978" t="str">
        <f t="shared" si="15"/>
        <v>Extended</v>
      </c>
    </row>
    <row r="979" spans="1:17" x14ac:dyDescent="0.3">
      <c r="A979" t="s">
        <v>1997</v>
      </c>
      <c r="B979" t="s">
        <v>1998</v>
      </c>
      <c r="C979">
        <v>22</v>
      </c>
      <c r="D979" t="s">
        <v>16</v>
      </c>
      <c r="E979" s="1">
        <v>45731</v>
      </c>
      <c r="F979" s="1">
        <v>45740</v>
      </c>
      <c r="G979" t="s">
        <v>66</v>
      </c>
      <c r="H979" t="s">
        <v>27</v>
      </c>
      <c r="I979">
        <v>2744</v>
      </c>
      <c r="J979" t="s">
        <v>19</v>
      </c>
      <c r="K979" t="s">
        <v>44</v>
      </c>
      <c r="L979" t="s">
        <v>78</v>
      </c>
      <c r="M979" t="s">
        <v>50</v>
      </c>
      <c r="N979">
        <v>9</v>
      </c>
      <c r="O979" t="str">
        <f t="shared" si="15"/>
        <v>Extended</v>
      </c>
      <c r="Q979">
        <f>SUM(I1:I1001)</f>
        <v>5586145</v>
      </c>
    </row>
    <row r="980" spans="1:17" x14ac:dyDescent="0.3">
      <c r="A980" t="s">
        <v>1999</v>
      </c>
      <c r="B980" t="s">
        <v>2000</v>
      </c>
      <c r="C980">
        <v>3</v>
      </c>
      <c r="D980" t="s">
        <v>16</v>
      </c>
      <c r="E980" s="1">
        <v>45694</v>
      </c>
      <c r="F980" s="1">
        <v>45696</v>
      </c>
      <c r="G980" t="s">
        <v>43</v>
      </c>
      <c r="H980" t="s">
        <v>48</v>
      </c>
      <c r="I980">
        <v>7252</v>
      </c>
      <c r="J980" t="s">
        <v>19</v>
      </c>
      <c r="K980" t="s">
        <v>40</v>
      </c>
      <c r="L980" t="s">
        <v>59</v>
      </c>
      <c r="M980" t="s">
        <v>50</v>
      </c>
      <c r="N980">
        <v>2</v>
      </c>
      <c r="O980" t="str">
        <f t="shared" si="15"/>
        <v>Normal</v>
      </c>
    </row>
    <row r="981" spans="1:17" x14ac:dyDescent="0.3">
      <c r="A981" t="s">
        <v>2001</v>
      </c>
      <c r="B981" t="s">
        <v>2002</v>
      </c>
      <c r="C981">
        <v>30</v>
      </c>
      <c r="D981" t="s">
        <v>25</v>
      </c>
      <c r="E981" s="1">
        <v>45754</v>
      </c>
      <c r="F981" s="1">
        <v>45763</v>
      </c>
      <c r="G981" t="s">
        <v>66</v>
      </c>
      <c r="H981" t="s">
        <v>58</v>
      </c>
      <c r="I981">
        <v>1419</v>
      </c>
      <c r="J981" t="s">
        <v>34</v>
      </c>
      <c r="K981" t="s">
        <v>44</v>
      </c>
      <c r="L981" t="s">
        <v>59</v>
      </c>
      <c r="M981" t="s">
        <v>29</v>
      </c>
      <c r="N981">
        <v>9</v>
      </c>
      <c r="O981" t="str">
        <f t="shared" si="15"/>
        <v>Extended</v>
      </c>
    </row>
    <row r="982" spans="1:17" x14ac:dyDescent="0.3">
      <c r="A982" t="s">
        <v>2003</v>
      </c>
      <c r="B982" t="s">
        <v>2004</v>
      </c>
      <c r="C982">
        <v>14</v>
      </c>
      <c r="D982" t="s">
        <v>16</v>
      </c>
      <c r="E982" s="1">
        <v>45780</v>
      </c>
      <c r="F982" s="1">
        <v>45794</v>
      </c>
      <c r="G982" t="s">
        <v>62</v>
      </c>
      <c r="H982" t="s">
        <v>48</v>
      </c>
      <c r="I982">
        <v>7120</v>
      </c>
      <c r="J982" t="s">
        <v>34</v>
      </c>
      <c r="K982" t="s">
        <v>44</v>
      </c>
      <c r="L982" t="s">
        <v>21</v>
      </c>
      <c r="M982" t="s">
        <v>29</v>
      </c>
      <c r="N982">
        <v>14</v>
      </c>
      <c r="O982" t="str">
        <f t="shared" si="15"/>
        <v>Extended</v>
      </c>
    </row>
    <row r="983" spans="1:17" x14ac:dyDescent="0.3">
      <c r="A983" t="s">
        <v>2005</v>
      </c>
      <c r="B983" t="s">
        <v>2006</v>
      </c>
      <c r="C983">
        <v>10</v>
      </c>
      <c r="D983" t="s">
        <v>16</v>
      </c>
      <c r="E983" s="1">
        <v>45669</v>
      </c>
      <c r="F983" s="1">
        <v>45683</v>
      </c>
      <c r="G983" t="s">
        <v>43</v>
      </c>
      <c r="H983" t="s">
        <v>18</v>
      </c>
      <c r="I983">
        <v>5006</v>
      </c>
      <c r="J983" t="s">
        <v>34</v>
      </c>
      <c r="K983" t="s">
        <v>35</v>
      </c>
      <c r="L983" t="s">
        <v>78</v>
      </c>
      <c r="M983" t="s">
        <v>50</v>
      </c>
      <c r="N983">
        <v>14</v>
      </c>
      <c r="O983" t="str">
        <f t="shared" si="15"/>
        <v>Extended</v>
      </c>
    </row>
    <row r="984" spans="1:17" x14ac:dyDescent="0.3">
      <c r="A984" t="s">
        <v>2007</v>
      </c>
      <c r="B984" t="s">
        <v>2008</v>
      </c>
      <c r="C984">
        <v>65</v>
      </c>
      <c r="D984" t="s">
        <v>16</v>
      </c>
      <c r="E984" s="1">
        <v>45557</v>
      </c>
      <c r="F984" s="1">
        <v>45566</v>
      </c>
      <c r="G984" t="s">
        <v>62</v>
      </c>
      <c r="H984" t="s">
        <v>73</v>
      </c>
      <c r="I984">
        <v>3909</v>
      </c>
      <c r="J984" t="s">
        <v>34</v>
      </c>
      <c r="K984" t="s">
        <v>49</v>
      </c>
      <c r="L984" t="s">
        <v>78</v>
      </c>
      <c r="M984" t="s">
        <v>22</v>
      </c>
      <c r="N984">
        <v>9</v>
      </c>
      <c r="O984" t="str">
        <f t="shared" si="15"/>
        <v>Extended</v>
      </c>
    </row>
    <row r="985" spans="1:17" x14ac:dyDescent="0.3">
      <c r="A985" t="s">
        <v>2009</v>
      </c>
      <c r="B985" t="s">
        <v>2010</v>
      </c>
      <c r="C985">
        <v>73</v>
      </c>
      <c r="D985" t="s">
        <v>16</v>
      </c>
      <c r="E985" s="1">
        <v>45787</v>
      </c>
      <c r="F985" s="1">
        <v>45797</v>
      </c>
      <c r="G985" t="s">
        <v>32</v>
      </c>
      <c r="H985" t="s">
        <v>39</v>
      </c>
      <c r="I985">
        <v>5203</v>
      </c>
      <c r="J985" t="s">
        <v>19</v>
      </c>
      <c r="K985" t="s">
        <v>35</v>
      </c>
      <c r="L985" t="s">
        <v>36</v>
      </c>
      <c r="M985" t="s">
        <v>22</v>
      </c>
      <c r="N985">
        <v>10</v>
      </c>
      <c r="O985" t="str">
        <f t="shared" si="15"/>
        <v>Extended</v>
      </c>
    </row>
    <row r="986" spans="1:17" x14ac:dyDescent="0.3">
      <c r="A986" t="s">
        <v>2011</v>
      </c>
      <c r="B986" t="s">
        <v>2012</v>
      </c>
      <c r="C986">
        <v>18</v>
      </c>
      <c r="D986" t="s">
        <v>16</v>
      </c>
      <c r="E986" s="1">
        <v>45447</v>
      </c>
      <c r="F986" s="1">
        <v>45451</v>
      </c>
      <c r="G986" t="s">
        <v>26</v>
      </c>
      <c r="H986" t="s">
        <v>58</v>
      </c>
      <c r="I986">
        <v>4135</v>
      </c>
      <c r="J986" t="s">
        <v>19</v>
      </c>
      <c r="K986" t="s">
        <v>35</v>
      </c>
      <c r="L986" t="s">
        <v>55</v>
      </c>
      <c r="M986" t="s">
        <v>22</v>
      </c>
      <c r="N986">
        <v>4</v>
      </c>
      <c r="O986" t="str">
        <f t="shared" si="15"/>
        <v>Extended</v>
      </c>
    </row>
    <row r="987" spans="1:17" x14ac:dyDescent="0.3">
      <c r="A987" t="s">
        <v>2013</v>
      </c>
      <c r="B987" t="s">
        <v>2014</v>
      </c>
      <c r="C987">
        <v>28</v>
      </c>
      <c r="D987" t="s">
        <v>16</v>
      </c>
      <c r="E987" s="1">
        <v>45774</v>
      </c>
      <c r="F987" s="1">
        <v>45783</v>
      </c>
      <c r="G987" t="s">
        <v>26</v>
      </c>
      <c r="H987" t="s">
        <v>18</v>
      </c>
      <c r="I987">
        <v>5053</v>
      </c>
      <c r="J987" t="s">
        <v>19</v>
      </c>
      <c r="K987" t="s">
        <v>35</v>
      </c>
      <c r="L987" t="s">
        <v>36</v>
      </c>
      <c r="M987" t="s">
        <v>50</v>
      </c>
      <c r="N987">
        <v>9</v>
      </c>
      <c r="O987" t="str">
        <f t="shared" si="15"/>
        <v>Extended</v>
      </c>
    </row>
    <row r="988" spans="1:17" x14ac:dyDescent="0.3">
      <c r="A988" t="s">
        <v>2015</v>
      </c>
      <c r="B988" t="s">
        <v>2016</v>
      </c>
      <c r="C988">
        <v>8</v>
      </c>
      <c r="D988" t="s">
        <v>16</v>
      </c>
      <c r="E988" s="1">
        <v>45689</v>
      </c>
      <c r="F988" s="1">
        <v>45697</v>
      </c>
      <c r="G988" t="s">
        <v>26</v>
      </c>
      <c r="H988" t="s">
        <v>18</v>
      </c>
      <c r="I988">
        <v>3539</v>
      </c>
      <c r="J988" t="s">
        <v>19</v>
      </c>
      <c r="K988" t="s">
        <v>35</v>
      </c>
      <c r="L988" t="s">
        <v>78</v>
      </c>
      <c r="M988" t="s">
        <v>50</v>
      </c>
      <c r="N988">
        <v>8</v>
      </c>
      <c r="O988" t="str">
        <f t="shared" si="15"/>
        <v>Extended</v>
      </c>
    </row>
    <row r="989" spans="1:17" x14ac:dyDescent="0.3">
      <c r="A989" t="s">
        <v>2017</v>
      </c>
      <c r="B989" t="s">
        <v>2018</v>
      </c>
      <c r="C989">
        <v>8</v>
      </c>
      <c r="D989" t="s">
        <v>16</v>
      </c>
      <c r="E989" s="1">
        <v>45774</v>
      </c>
      <c r="F989" s="1">
        <v>45777</v>
      </c>
      <c r="G989" t="s">
        <v>94</v>
      </c>
      <c r="H989" t="s">
        <v>39</v>
      </c>
      <c r="I989">
        <v>4824</v>
      </c>
      <c r="J989" t="s">
        <v>34</v>
      </c>
      <c r="K989" t="s">
        <v>40</v>
      </c>
      <c r="L989" t="s">
        <v>59</v>
      </c>
      <c r="M989" t="s">
        <v>29</v>
      </c>
      <c r="N989">
        <v>3</v>
      </c>
      <c r="O989" t="str">
        <f t="shared" si="15"/>
        <v>Normal</v>
      </c>
    </row>
    <row r="990" spans="1:17" x14ac:dyDescent="0.3">
      <c r="A990" t="s">
        <v>2019</v>
      </c>
      <c r="B990" t="s">
        <v>2020</v>
      </c>
      <c r="C990">
        <v>4</v>
      </c>
      <c r="D990" t="s">
        <v>25</v>
      </c>
      <c r="E990" s="1">
        <v>45662</v>
      </c>
      <c r="F990" s="1">
        <v>45676</v>
      </c>
      <c r="G990" t="s">
        <v>17</v>
      </c>
      <c r="H990" t="s">
        <v>53</v>
      </c>
      <c r="I990">
        <v>9750</v>
      </c>
      <c r="J990" t="s">
        <v>19</v>
      </c>
      <c r="K990" t="s">
        <v>49</v>
      </c>
      <c r="L990" t="s">
        <v>78</v>
      </c>
      <c r="M990" t="s">
        <v>22</v>
      </c>
      <c r="N990">
        <v>14</v>
      </c>
      <c r="O990" t="str">
        <f t="shared" si="15"/>
        <v>Extended</v>
      </c>
    </row>
    <row r="991" spans="1:17" x14ac:dyDescent="0.3">
      <c r="A991" t="s">
        <v>2021</v>
      </c>
      <c r="B991" t="s">
        <v>2022</v>
      </c>
      <c r="C991">
        <v>52</v>
      </c>
      <c r="D991" t="s">
        <v>16</v>
      </c>
      <c r="E991" s="1">
        <v>45442</v>
      </c>
      <c r="F991" s="1">
        <v>45443</v>
      </c>
      <c r="G991" t="s">
        <v>26</v>
      </c>
      <c r="H991" t="s">
        <v>73</v>
      </c>
      <c r="I991">
        <v>3249</v>
      </c>
      <c r="J991" t="s">
        <v>19</v>
      </c>
      <c r="K991" t="s">
        <v>133</v>
      </c>
      <c r="L991" t="s">
        <v>78</v>
      </c>
      <c r="M991" t="s">
        <v>29</v>
      </c>
      <c r="N991">
        <v>1</v>
      </c>
      <c r="O991" t="str">
        <f t="shared" si="15"/>
        <v>Normal</v>
      </c>
    </row>
    <row r="992" spans="1:17" x14ac:dyDescent="0.3">
      <c r="A992" t="s">
        <v>2023</v>
      </c>
      <c r="B992" t="s">
        <v>2024</v>
      </c>
      <c r="C992">
        <v>80</v>
      </c>
      <c r="D992" t="s">
        <v>25</v>
      </c>
      <c r="E992" s="1">
        <v>45806</v>
      </c>
      <c r="F992" s="1">
        <v>45808</v>
      </c>
      <c r="G992" t="s">
        <v>26</v>
      </c>
      <c r="H992" t="s">
        <v>39</v>
      </c>
      <c r="I992">
        <v>6764</v>
      </c>
      <c r="J992" t="s">
        <v>19</v>
      </c>
      <c r="K992" t="s">
        <v>20</v>
      </c>
      <c r="L992" t="s">
        <v>59</v>
      </c>
      <c r="M992" t="s">
        <v>29</v>
      </c>
      <c r="N992">
        <v>2</v>
      </c>
      <c r="O992" t="str">
        <f t="shared" si="15"/>
        <v>Normal</v>
      </c>
    </row>
    <row r="993" spans="1:15" x14ac:dyDescent="0.3">
      <c r="A993" t="s">
        <v>2025</v>
      </c>
      <c r="B993" t="s">
        <v>2026</v>
      </c>
      <c r="C993">
        <v>48</v>
      </c>
      <c r="D993" t="s">
        <v>16</v>
      </c>
      <c r="E993" s="1">
        <v>45618</v>
      </c>
      <c r="F993" s="1">
        <v>45619</v>
      </c>
      <c r="G993" t="s">
        <v>17</v>
      </c>
      <c r="H993" t="s">
        <v>48</v>
      </c>
      <c r="I993">
        <v>5546</v>
      </c>
      <c r="J993" t="s">
        <v>34</v>
      </c>
      <c r="K993" t="s">
        <v>35</v>
      </c>
      <c r="L993" t="s">
        <v>21</v>
      </c>
      <c r="M993" t="s">
        <v>50</v>
      </c>
      <c r="N993">
        <v>1</v>
      </c>
      <c r="O993" t="str">
        <f t="shared" si="15"/>
        <v>Normal</v>
      </c>
    </row>
    <row r="994" spans="1:15" x14ac:dyDescent="0.3">
      <c r="A994" t="s">
        <v>2027</v>
      </c>
      <c r="B994" t="s">
        <v>2028</v>
      </c>
      <c r="C994">
        <v>1</v>
      </c>
      <c r="D994" t="s">
        <v>16</v>
      </c>
      <c r="E994" s="1">
        <v>45603</v>
      </c>
      <c r="F994" s="1">
        <v>45612</v>
      </c>
      <c r="G994" t="s">
        <v>17</v>
      </c>
      <c r="H994" t="s">
        <v>48</v>
      </c>
      <c r="I994">
        <v>2180</v>
      </c>
      <c r="J994" t="s">
        <v>19</v>
      </c>
      <c r="K994" t="s">
        <v>35</v>
      </c>
      <c r="L994" t="s">
        <v>55</v>
      </c>
      <c r="M994" t="s">
        <v>50</v>
      </c>
      <c r="N994">
        <v>9</v>
      </c>
      <c r="O994" t="str">
        <f t="shared" si="15"/>
        <v>Extended</v>
      </c>
    </row>
    <row r="995" spans="1:15" x14ac:dyDescent="0.3">
      <c r="A995" t="s">
        <v>2029</v>
      </c>
      <c r="B995" t="s">
        <v>2030</v>
      </c>
      <c r="C995">
        <v>65</v>
      </c>
      <c r="D995" t="s">
        <v>25</v>
      </c>
      <c r="E995" s="1">
        <v>45508</v>
      </c>
      <c r="F995" s="1">
        <v>45510</v>
      </c>
      <c r="G995" t="s">
        <v>26</v>
      </c>
      <c r="H995" t="s">
        <v>89</v>
      </c>
      <c r="I995">
        <v>6713</v>
      </c>
      <c r="J995" t="s">
        <v>19</v>
      </c>
      <c r="K995" t="s">
        <v>49</v>
      </c>
      <c r="L995" t="s">
        <v>21</v>
      </c>
      <c r="M995" t="s">
        <v>50</v>
      </c>
      <c r="N995">
        <v>2</v>
      </c>
      <c r="O995" t="str">
        <f t="shared" si="15"/>
        <v>Normal</v>
      </c>
    </row>
    <row r="996" spans="1:15" x14ac:dyDescent="0.3">
      <c r="A996" t="s">
        <v>2031</v>
      </c>
      <c r="B996" t="s">
        <v>2032</v>
      </c>
      <c r="C996">
        <v>38</v>
      </c>
      <c r="D996" t="s">
        <v>16</v>
      </c>
      <c r="E996" s="1">
        <v>45625</v>
      </c>
      <c r="F996" s="1">
        <v>45630</v>
      </c>
      <c r="G996" t="s">
        <v>43</v>
      </c>
      <c r="H996" t="s">
        <v>58</v>
      </c>
      <c r="I996">
        <v>6953</v>
      </c>
      <c r="J996" t="s">
        <v>34</v>
      </c>
      <c r="K996" t="s">
        <v>20</v>
      </c>
      <c r="L996" t="s">
        <v>21</v>
      </c>
      <c r="M996" t="s">
        <v>50</v>
      </c>
      <c r="N996">
        <v>5</v>
      </c>
      <c r="O996" t="str">
        <f t="shared" si="15"/>
        <v>Extended</v>
      </c>
    </row>
    <row r="997" spans="1:15" x14ac:dyDescent="0.3">
      <c r="A997" t="s">
        <v>2033</v>
      </c>
      <c r="B997" t="s">
        <v>2034</v>
      </c>
      <c r="C997">
        <v>59</v>
      </c>
      <c r="D997" t="s">
        <v>16</v>
      </c>
      <c r="E997" s="1">
        <v>45739</v>
      </c>
      <c r="F997" s="1">
        <v>45746</v>
      </c>
      <c r="G997" t="s">
        <v>43</v>
      </c>
      <c r="H997" t="s">
        <v>18</v>
      </c>
      <c r="I997">
        <v>9413</v>
      </c>
      <c r="J997" t="s">
        <v>19</v>
      </c>
      <c r="K997" t="s">
        <v>20</v>
      </c>
      <c r="L997" t="s">
        <v>45</v>
      </c>
      <c r="M997" t="s">
        <v>29</v>
      </c>
      <c r="N997">
        <v>7</v>
      </c>
      <c r="O997" t="str">
        <f t="shared" si="15"/>
        <v>Extended</v>
      </c>
    </row>
    <row r="998" spans="1:15" x14ac:dyDescent="0.3">
      <c r="A998" t="s">
        <v>2035</v>
      </c>
      <c r="B998" t="s">
        <v>2036</v>
      </c>
      <c r="C998">
        <v>2</v>
      </c>
      <c r="D998" t="s">
        <v>25</v>
      </c>
      <c r="E998" s="1">
        <v>45523</v>
      </c>
      <c r="F998" s="1">
        <v>45527</v>
      </c>
      <c r="G998" t="s">
        <v>43</v>
      </c>
      <c r="H998" t="s">
        <v>53</v>
      </c>
      <c r="I998">
        <v>6790</v>
      </c>
      <c r="J998" t="s">
        <v>34</v>
      </c>
      <c r="K998" t="s">
        <v>133</v>
      </c>
      <c r="L998" t="s">
        <v>78</v>
      </c>
      <c r="M998" t="s">
        <v>29</v>
      </c>
      <c r="N998">
        <v>4</v>
      </c>
      <c r="O998" t="str">
        <f t="shared" si="15"/>
        <v>Extended</v>
      </c>
    </row>
    <row r="999" spans="1:15" x14ac:dyDescent="0.3">
      <c r="A999" t="s">
        <v>2037</v>
      </c>
      <c r="B999" t="s">
        <v>2038</v>
      </c>
      <c r="C999">
        <v>29</v>
      </c>
      <c r="D999" t="s">
        <v>16</v>
      </c>
      <c r="E999" s="1">
        <v>45600</v>
      </c>
      <c r="F999" s="1">
        <v>45602</v>
      </c>
      <c r="G999" t="s">
        <v>66</v>
      </c>
      <c r="H999" t="s">
        <v>53</v>
      </c>
      <c r="I999">
        <v>3040</v>
      </c>
      <c r="J999" t="s">
        <v>19</v>
      </c>
      <c r="K999" t="s">
        <v>49</v>
      </c>
      <c r="L999" t="s">
        <v>78</v>
      </c>
      <c r="M999" t="s">
        <v>50</v>
      </c>
      <c r="N999">
        <v>2</v>
      </c>
      <c r="O999" t="str">
        <f t="shared" si="15"/>
        <v>Normal</v>
      </c>
    </row>
    <row r="1000" spans="1:15" x14ac:dyDescent="0.3">
      <c r="A1000" t="s">
        <v>2039</v>
      </c>
      <c r="B1000" t="s">
        <v>2040</v>
      </c>
      <c r="C1000">
        <v>31</v>
      </c>
      <c r="D1000" t="s">
        <v>16</v>
      </c>
      <c r="E1000" s="1">
        <v>45693</v>
      </c>
      <c r="F1000" s="1">
        <v>45706</v>
      </c>
      <c r="G1000" t="s">
        <v>26</v>
      </c>
      <c r="H1000" t="s">
        <v>53</v>
      </c>
      <c r="I1000">
        <v>9285</v>
      </c>
      <c r="J1000" t="s">
        <v>34</v>
      </c>
      <c r="K1000" t="s">
        <v>133</v>
      </c>
      <c r="L1000" t="s">
        <v>55</v>
      </c>
      <c r="M1000" t="s">
        <v>29</v>
      </c>
      <c r="N1000">
        <v>13</v>
      </c>
      <c r="O1000" t="str">
        <f t="shared" si="15"/>
        <v>Extended</v>
      </c>
    </row>
    <row r="1001" spans="1:15" x14ac:dyDescent="0.3">
      <c r="A1001" t="s">
        <v>2041</v>
      </c>
      <c r="B1001" t="s">
        <v>2042</v>
      </c>
      <c r="C1001">
        <v>30</v>
      </c>
      <c r="D1001" t="s">
        <v>25</v>
      </c>
      <c r="E1001" s="1">
        <v>45727</v>
      </c>
      <c r="F1001" s="1">
        <v>45738</v>
      </c>
      <c r="G1001" t="s">
        <v>62</v>
      </c>
      <c r="H1001" t="s">
        <v>58</v>
      </c>
      <c r="I1001">
        <v>1636</v>
      </c>
      <c r="J1001" t="s">
        <v>34</v>
      </c>
      <c r="K1001" t="s">
        <v>44</v>
      </c>
      <c r="L1001" t="s">
        <v>59</v>
      </c>
      <c r="M1001" t="s">
        <v>29</v>
      </c>
      <c r="N1001">
        <v>11</v>
      </c>
      <c r="O1001" t="str">
        <f t="shared" si="15"/>
        <v>Extended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Hospital_Management_Large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 singh</dc:creator>
  <cp:lastModifiedBy>Rahul  Kumar</cp:lastModifiedBy>
  <dcterms:created xsi:type="dcterms:W3CDTF">2025-11-17T06:15:31Z</dcterms:created>
  <dcterms:modified xsi:type="dcterms:W3CDTF">2025-12-18T14:48:05Z</dcterms:modified>
</cp:coreProperties>
</file>